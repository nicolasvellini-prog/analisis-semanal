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icolas\Downloads\"/>
    </mc:Choice>
  </mc:AlternateContent>
  <xr:revisionPtr revIDLastSave="0" documentId="13_ncr:1_{97C04875-75F3-4C05-BB15-793D3C6E174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SEMANA_1" sheetId="2" r:id="rId2"/>
    <sheet name="SEMANA_2" sheetId="3" r:id="rId3"/>
    <sheet name="SEMANA_3" sheetId="4" r:id="rId4"/>
    <sheet name="SEMANA_4" sheetId="5" r:id="rId5"/>
    <sheet name="RESUMEN_ME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" i="2" l="1"/>
  <c r="C22" i="2"/>
  <c r="C20" i="2"/>
  <c r="C6" i="2"/>
  <c r="C7" i="2"/>
  <c r="C8" i="2"/>
  <c r="C9" i="2"/>
  <c r="C10" i="2"/>
  <c r="C11" i="2"/>
  <c r="C12" i="2"/>
  <c r="C13" i="2"/>
  <c r="C14" i="2"/>
  <c r="C15" i="2"/>
  <c r="C5" i="2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F27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E19" i="6"/>
  <c r="D19" i="6"/>
  <c r="C19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C33" i="5"/>
  <c r="B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C16" i="5"/>
  <c r="B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C33" i="4"/>
  <c r="B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C16" i="4"/>
  <c r="B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E7" i="4"/>
  <c r="D7" i="4"/>
  <c r="E6" i="4"/>
  <c r="D6" i="4"/>
  <c r="E5" i="4"/>
  <c r="D5" i="4"/>
  <c r="C33" i="3"/>
  <c r="B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C16" i="3"/>
  <c r="B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B33" i="2"/>
  <c r="E32" i="2"/>
  <c r="D32" i="2"/>
  <c r="E31" i="2"/>
  <c r="D31" i="2"/>
  <c r="E30" i="2"/>
  <c r="D30" i="2"/>
  <c r="E29" i="2"/>
  <c r="D29" i="2"/>
  <c r="E28" i="2"/>
  <c r="D28" i="2"/>
  <c r="D27" i="2"/>
  <c r="E26" i="2"/>
  <c r="D26" i="2"/>
  <c r="E25" i="2"/>
  <c r="D25" i="2"/>
  <c r="E24" i="2"/>
  <c r="D24" i="2"/>
  <c r="E23" i="2"/>
  <c r="D23" i="2"/>
  <c r="E21" i="2"/>
  <c r="D21" i="2"/>
  <c r="B16" i="2"/>
  <c r="E7" i="2"/>
  <c r="D7" i="2"/>
  <c r="E6" i="2"/>
  <c r="D6" i="2"/>
  <c r="E27" i="2" l="1"/>
  <c r="E22" i="2"/>
  <c r="F21" i="6"/>
  <c r="D22" i="2"/>
  <c r="C33" i="2"/>
  <c r="E20" i="2"/>
  <c r="D20" i="2"/>
  <c r="B19" i="6"/>
  <c r="B14" i="6"/>
  <c r="B13" i="6"/>
  <c r="B12" i="6"/>
  <c r="B6" i="6"/>
  <c r="B11" i="6"/>
  <c r="B10" i="6"/>
  <c r="B9" i="6"/>
  <c r="B8" i="6"/>
  <c r="B7" i="6"/>
  <c r="B5" i="6"/>
  <c r="E15" i="2"/>
  <c r="D15" i="2"/>
  <c r="E14" i="2"/>
  <c r="D14" i="2"/>
  <c r="E13" i="2"/>
  <c r="D13" i="2"/>
  <c r="E12" i="2"/>
  <c r="D12" i="2"/>
  <c r="E11" i="2"/>
  <c r="E10" i="2"/>
  <c r="E9" i="2"/>
  <c r="D9" i="2"/>
  <c r="E8" i="2"/>
  <c r="D8" i="2"/>
  <c r="D11" i="2"/>
  <c r="D10" i="2"/>
  <c r="B4" i="6"/>
  <c r="C16" i="2"/>
  <c r="E5" i="2"/>
  <c r="D5" i="2"/>
  <c r="E35" i="6"/>
  <c r="D35" i="6"/>
  <c r="C35" i="6"/>
  <c r="E32" i="6"/>
  <c r="D32" i="6"/>
  <c r="C32" i="6"/>
  <c r="F31" i="6"/>
  <c r="F30" i="6"/>
  <c r="F29" i="6"/>
  <c r="F28" i="6"/>
  <c r="F26" i="6"/>
  <c r="F25" i="6"/>
  <c r="F24" i="6"/>
  <c r="F23" i="6"/>
  <c r="F22" i="6"/>
  <c r="F20" i="6"/>
  <c r="F15" i="6"/>
  <c r="E15" i="6"/>
  <c r="D15" i="6"/>
  <c r="C15" i="6"/>
  <c r="D16" i="5"/>
  <c r="E33" i="5"/>
  <c r="D33" i="5"/>
  <c r="E16" i="5"/>
  <c r="E33" i="4"/>
  <c r="D33" i="4"/>
  <c r="E16" i="4"/>
  <c r="D16" i="4"/>
  <c r="E33" i="3"/>
  <c r="D33" i="3"/>
  <c r="E16" i="3"/>
  <c r="D16" i="3"/>
  <c r="B32" i="6" l="1"/>
  <c r="F32" i="6" s="1"/>
  <c r="F19" i="6"/>
  <c r="D33" i="2"/>
  <c r="E33" i="2"/>
  <c r="B35" i="6"/>
  <c r="F35" i="6" s="1"/>
  <c r="B15" i="6"/>
  <c r="D16" i="2"/>
  <c r="E16" i="2"/>
</calcChain>
</file>

<file path=xl/sharedStrings.xml><?xml version="1.0" encoding="utf-8"?>
<sst xmlns="http://schemas.openxmlformats.org/spreadsheetml/2006/main" count="247" uniqueCount="85">
  <si>
    <t>ANÁLISIS FINANCIERO SEMANAL — Guía de uso</t>
  </si>
  <si>
    <t>ESTRUCTURA</t>
  </si>
  <si>
    <t>Hoja</t>
  </si>
  <si>
    <t>Descripción</t>
  </si>
  <si>
    <t>INSTRUCCIONES</t>
  </si>
  <si>
    <t>Esta guía</t>
  </si>
  <si>
    <t>SEMANA_1 a SEMANA_4</t>
  </si>
  <si>
    <t>Una hoja por semana del mes — cargás los datos ahí</t>
  </si>
  <si>
    <t>RESUMEN_MES</t>
  </si>
  <si>
    <t>Comparativa automática de las 4 semanas — no modificar</t>
  </si>
  <si>
    <t>CÓMO CARGAR CADA SEMANA</t>
  </si>
  <si>
    <t>1.</t>
  </si>
  <si>
    <t>Abrí la hoja SEMANA_X correspondiente</t>
  </si>
  <si>
    <t>2.</t>
  </si>
  <si>
    <t>Completá la fecha de inicio y fin de la semana (fila 3)</t>
  </si>
  <si>
    <t>3.</t>
  </si>
  <si>
    <t>En DISPONIBILIDADES: completá el saldo al INICIO y al CIERRE de la semana</t>
  </si>
  <si>
    <t>4.</t>
  </si>
  <si>
    <t>En EROGACIONES: completá el monto PRESUPUESTADO y el EJECUTADO</t>
  </si>
  <si>
    <t>5.</t>
  </si>
  <si>
    <t>Las variaciones y desvíos se calculan automáticamente</t>
  </si>
  <si>
    <t>CONVENCIÓN DE COLORES</t>
  </si>
  <si>
    <t>Texto AZUL</t>
  </si>
  <si>
    <t>Dato a ingresar manualmente</t>
  </si>
  <si>
    <t>Texto VERDE</t>
  </si>
  <si>
    <t>Fórmula automática — no modificar</t>
  </si>
  <si>
    <t>Fondo AMARILLO</t>
  </si>
  <si>
    <t>Celda clave a actualizar</t>
  </si>
  <si>
    <t>ANÁLISIS FINANCIERO — SEMANA 1</t>
  </si>
  <si>
    <t>Semana N°</t>
  </si>
  <si>
    <t>Fecha inicio</t>
  </si>
  <si>
    <t>Fecha cierre</t>
  </si>
  <si>
    <t>DISPONIBILIDADES  (valores en USD)</t>
  </si>
  <si>
    <t>Variable</t>
  </si>
  <si>
    <t>Saldo inicio semana (USD)</t>
  </si>
  <si>
    <t>Saldo cierre semana (USD)</t>
  </si>
  <si>
    <t>Variación (USD)</t>
  </si>
  <si>
    <t>Variación (%)</t>
  </si>
  <si>
    <t>Observaciones</t>
  </si>
  <si>
    <t>Cheques en cartera</t>
  </si>
  <si>
    <t>Banco Patagonia</t>
  </si>
  <si>
    <t>Banco Francés</t>
  </si>
  <si>
    <t>Banco Santander</t>
  </si>
  <si>
    <t>Banco Galicia</t>
  </si>
  <si>
    <t>Cobranza exportación (Estim.)</t>
  </si>
  <si>
    <t>MI a cobrar (Acred. Galicia)</t>
  </si>
  <si>
    <t>Divisas disponibles Patagonia</t>
  </si>
  <si>
    <t>Divisas disponibles Francés</t>
  </si>
  <si>
    <t>ME a cobrar</t>
  </si>
  <si>
    <t>Inversiones - FCI</t>
  </si>
  <si>
    <t>TOTAL DISPONIBILIDADES</t>
  </si>
  <si>
    <t>EROGACIONES  (valores en USD)</t>
  </si>
  <si>
    <t>Rubro</t>
  </si>
  <si>
    <t>Presupuestado (USD)</t>
  </si>
  <si>
    <t>Ejecutado (USD)</t>
  </si>
  <si>
    <t>Desvío (USD)</t>
  </si>
  <si>
    <t>Desvío (%)</t>
  </si>
  <si>
    <t>Proveedores</t>
  </si>
  <si>
    <t>Aranceles y Cánones</t>
  </si>
  <si>
    <t>Comercio Exterior</t>
  </si>
  <si>
    <t>Directores / Accionistas</t>
  </si>
  <si>
    <t>Empresas del Grupo</t>
  </si>
  <si>
    <t>Gastos de Buques</t>
  </si>
  <si>
    <t>Impuestos y Tasas</t>
  </si>
  <si>
    <t>RRHH</t>
  </si>
  <si>
    <t>Servicios Varios</t>
  </si>
  <si>
    <t>Retiros Particulares</t>
  </si>
  <si>
    <t>Pago Importaciones</t>
  </si>
  <si>
    <t>Compra Dólares (CCL)</t>
  </si>
  <si>
    <t>Pago Préstamos</t>
  </si>
  <si>
    <t>TOTAL EROGACIONES</t>
  </si>
  <si>
    <t>ANÁLISIS FINANCIERO — SEMANA 2</t>
  </si>
  <si>
    <t>ANÁLISIS FINANCIERO — SEMANA 3</t>
  </si>
  <si>
    <t>ANÁLISIS FINANCIERO — SEMANA 4</t>
  </si>
  <si>
    <t>RESUMEN MENSUAL — Comparativa de las 4 semanas</t>
  </si>
  <si>
    <t>Semana 1</t>
  </si>
  <si>
    <t>Semana 2</t>
  </si>
  <si>
    <t>Semana 3</t>
  </si>
  <si>
    <t>Semana 4</t>
  </si>
  <si>
    <t>Δ Total</t>
  </si>
  <si>
    <t>DISPONIBILIDADES — Saldo al cierre de cada semana (USD)</t>
  </si>
  <si>
    <t>EROGACIONES — Ejecutado por semana (USD)</t>
  </si>
  <si>
    <t>Total mes</t>
  </si>
  <si>
    <t>SALDO NETO (Disponibilidades - Erogaciones ejecutadas)</t>
  </si>
  <si>
    <t>Saldo neto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</si>
</sst>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#,##0.00;\(#,##0.00\);\-"/>
    <numFmt numFmtId="166" formatCode="0.0%;\(0.0%\);\-"/>
  </numFmts>
  <fonts count="1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sz val="10"/>
      <color rgb="FF444441"/>
      <name val="Arial"/>
      <charset val="1"/>
    </font>
    <font>
      <sz val="10"/>
      <name val="Arial"/>
      <charset val="1"/>
    </font>
    <font>
      <sz val="10"/>
      <color rgb="FF1B2A4A"/>
      <name val="Arial"/>
      <charset val="1"/>
    </font>
    <font>
      <sz val="10"/>
      <color rgb="FF0000FF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sz val="10"/>
      <color rgb="FF1A1A18"/>
      <name val="Arial"/>
      <charset val="1"/>
    </font>
    <font>
      <sz val="10"/>
      <color rgb="FF008000"/>
      <name val="Arial"/>
      <charset val="1"/>
    </font>
    <font>
      <b/>
      <sz val="12"/>
      <color rgb="FFFFFF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1A1A18"/>
      </patternFill>
    </fill>
    <fill>
      <patternFill patternType="solid">
        <fgColor rgb="FFF4F3F0"/>
        <bgColor rgb="FFFCEBEB"/>
      </patternFill>
    </fill>
    <fill>
      <patternFill patternType="solid">
        <fgColor rgb="FFFFFF00"/>
        <bgColor rgb="FFFFFF00"/>
      </patternFill>
    </fill>
    <fill>
      <patternFill patternType="solid">
        <fgColor rgb="FF1B4F72"/>
        <bgColor rgb="FF0F6E56"/>
      </patternFill>
    </fill>
    <fill>
      <patternFill patternType="solid">
        <fgColor rgb="FF0F6E56"/>
        <bgColor rgb="FF008080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A32D2D"/>
        <bgColor rgb="FF993366"/>
      </patternFill>
    </fill>
    <fill>
      <patternFill patternType="solid">
        <fgColor rgb="FF6E2020"/>
        <bgColor rgb="FF800000"/>
      </patternFill>
    </fill>
    <fill>
      <patternFill patternType="solid">
        <fgColor rgb="FFFCEBEB"/>
        <bgColor rgb="FFF4F3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8" fillId="6" borderId="3" xfId="0" applyFont="1" applyFill="1" applyBorder="1" applyAlignment="1">
      <alignment horizontal="left" vertical="center" indent="1"/>
    </xf>
    <xf numFmtId="0" fontId="8" fillId="9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1" fillId="2" borderId="0" xfId="0" applyFont="1" applyFill="1" applyAlignment="1">
      <alignment horizontal="left" vertical="center" indent="1"/>
    </xf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2" borderId="1" xfId="0" applyFont="1" applyFill="1" applyBorder="1" applyAlignment="1">
      <alignment horizontal="left" vertical="center" indent="1"/>
    </xf>
    <xf numFmtId="1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left" vertical="center" indent="1"/>
    </xf>
    <xf numFmtId="165" fontId="7" fillId="7" borderId="2" xfId="0" applyNumberFormat="1" applyFont="1" applyFill="1" applyBorder="1" applyAlignment="1">
      <alignment horizontal="right" vertical="center"/>
    </xf>
    <xf numFmtId="165" fontId="11" fillId="8" borderId="2" xfId="0" applyNumberFormat="1" applyFont="1" applyFill="1" applyBorder="1" applyAlignment="1">
      <alignment horizontal="right" vertical="center"/>
    </xf>
    <xf numFmtId="166" fontId="11" fillId="8" borderId="2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left" vertical="center" indent="1"/>
    </xf>
    <xf numFmtId="165" fontId="3" fillId="2" borderId="1" xfId="0" applyNumberFormat="1" applyFont="1" applyFill="1" applyBorder="1" applyAlignment="1">
      <alignment horizontal="right" vertical="center"/>
    </xf>
    <xf numFmtId="166" fontId="3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9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65" fontId="11" fillId="11" borderId="2" xfId="0" applyNumberFormat="1" applyFont="1" applyFill="1" applyBorder="1" applyAlignment="1">
      <alignment horizontal="right" vertical="center"/>
    </xf>
    <xf numFmtId="166" fontId="11" fillId="11" borderId="2" xfId="0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left" vertical="center" indent="1"/>
    </xf>
    <xf numFmtId="165" fontId="3" fillId="9" borderId="1" xfId="0" applyNumberFormat="1" applyFont="1" applyFill="1" applyBorder="1" applyAlignment="1">
      <alignment horizontal="right" vertical="center"/>
    </xf>
    <xf numFmtId="166" fontId="3" fillId="9" borderId="1" xfId="0" applyNumberFormat="1" applyFont="1" applyFill="1" applyBorder="1" applyAlignment="1">
      <alignment horizontal="right" vertical="center"/>
    </xf>
    <xf numFmtId="0" fontId="0" fillId="9" borderId="1" xfId="0" applyFill="1" applyBorder="1"/>
    <xf numFmtId="0" fontId="3" fillId="2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inden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indent="1"/>
    </xf>
    <xf numFmtId="165" fontId="12" fillId="6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808000"/>
      <rgbColor rgb="FF800080"/>
      <rgbColor rgb="FF0F6E56"/>
      <rgbColor rgb="FFC0C0C0"/>
      <rgbColor rgb="FF808080"/>
      <rgbColor rgb="FF9999FF"/>
      <rgbColor rgb="FF993366"/>
      <rgbColor rgb="FFF4F3F0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B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1A1A18"/>
      <rgbColor rgb="FFA32D2D"/>
      <rgbColor rgb="FF993366"/>
      <rgbColor rgb="FF1B4F72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/>
  </sheetViews>
  <sheetFormatPr baseColWidth="10" defaultColWidth="8.7109375" defaultRowHeight="15" x14ac:dyDescent="0.25"/>
  <cols>
    <col min="1" max="1" width="30" customWidth="1"/>
    <col min="2" max="2" width="55" customWidth="1"/>
  </cols>
  <sheetData>
    <row r="1" spans="1:4" ht="31.5" customHeight="1" x14ac:dyDescent="0.25">
      <c r="A1" s="5" t="s">
        <v>0</v>
      </c>
      <c r="B1" s="5"/>
      <c r="C1" s="5"/>
      <c r="D1" s="5"/>
    </row>
    <row r="3" spans="1:4" ht="15" customHeight="1" x14ac:dyDescent="0.25">
      <c r="A3" s="4" t="s">
        <v>1</v>
      </c>
      <c r="B3" s="4"/>
      <c r="C3" s="4"/>
      <c r="D3" s="4"/>
    </row>
    <row r="4" spans="1:4" ht="15" customHeight="1" x14ac:dyDescent="0.25">
      <c r="A4" s="6" t="s">
        <v>2</v>
      </c>
      <c r="B4" s="6" t="s">
        <v>3</v>
      </c>
    </row>
    <row r="5" spans="1:4" ht="15" customHeight="1" x14ac:dyDescent="0.25">
      <c r="A5" s="7" t="s">
        <v>4</v>
      </c>
      <c r="B5" s="8" t="s">
        <v>5</v>
      </c>
    </row>
    <row r="6" spans="1:4" ht="15" customHeight="1" x14ac:dyDescent="0.25">
      <c r="A6" s="7" t="s">
        <v>6</v>
      </c>
      <c r="B6" s="8" t="s">
        <v>7</v>
      </c>
    </row>
    <row r="7" spans="1:4" ht="15" customHeight="1" x14ac:dyDescent="0.25">
      <c r="A7" s="7" t="s">
        <v>8</v>
      </c>
      <c r="B7" s="8" t="s">
        <v>9</v>
      </c>
    </row>
    <row r="8" spans="1:4" ht="15" customHeight="1" x14ac:dyDescent="0.25">
      <c r="A8" s="7"/>
      <c r="B8" s="8"/>
    </row>
    <row r="9" spans="1:4" ht="15" customHeight="1" x14ac:dyDescent="0.25">
      <c r="A9" s="4" t="s">
        <v>10</v>
      </c>
      <c r="B9" s="4"/>
      <c r="C9" s="4"/>
      <c r="D9" s="4"/>
    </row>
    <row r="10" spans="1:4" ht="15" customHeight="1" x14ac:dyDescent="0.25">
      <c r="A10" s="9" t="s">
        <v>11</v>
      </c>
      <c r="B10" s="8" t="s">
        <v>12</v>
      </c>
    </row>
    <row r="11" spans="1:4" ht="15" customHeight="1" x14ac:dyDescent="0.25">
      <c r="A11" s="9" t="s">
        <v>13</v>
      </c>
      <c r="B11" s="8" t="s">
        <v>14</v>
      </c>
    </row>
    <row r="12" spans="1:4" ht="15" customHeight="1" x14ac:dyDescent="0.25">
      <c r="A12" s="9" t="s">
        <v>15</v>
      </c>
      <c r="B12" s="8" t="s">
        <v>16</v>
      </c>
    </row>
    <row r="13" spans="1:4" ht="15" customHeight="1" x14ac:dyDescent="0.25">
      <c r="A13" s="9" t="s">
        <v>17</v>
      </c>
      <c r="B13" s="8" t="s">
        <v>18</v>
      </c>
    </row>
    <row r="14" spans="1:4" ht="15" customHeight="1" x14ac:dyDescent="0.25">
      <c r="A14" s="9" t="s">
        <v>19</v>
      </c>
      <c r="B14" s="8" t="s">
        <v>20</v>
      </c>
    </row>
    <row r="15" spans="1:4" ht="15" customHeight="1" x14ac:dyDescent="0.25">
      <c r="A15" s="7"/>
      <c r="B15" s="8"/>
    </row>
    <row r="16" spans="1:4" ht="15" customHeight="1" x14ac:dyDescent="0.25">
      <c r="A16" s="4" t="s">
        <v>21</v>
      </c>
      <c r="B16" s="4"/>
      <c r="C16" s="4"/>
      <c r="D16" s="4"/>
    </row>
    <row r="17" spans="1:2" ht="15" customHeight="1" x14ac:dyDescent="0.25">
      <c r="A17" s="6" t="s">
        <v>22</v>
      </c>
      <c r="B17" s="6" t="s">
        <v>23</v>
      </c>
    </row>
    <row r="18" spans="1:2" ht="15" customHeight="1" x14ac:dyDescent="0.25">
      <c r="A18" s="6" t="s">
        <v>24</v>
      </c>
      <c r="B18" s="6" t="s">
        <v>25</v>
      </c>
    </row>
    <row r="19" spans="1:2" ht="15" customHeight="1" x14ac:dyDescent="0.25">
      <c r="A19" s="6" t="s">
        <v>26</v>
      </c>
      <c r="B19" s="6" t="s">
        <v>27</v>
      </c>
    </row>
  </sheetData>
  <mergeCells count="4">
    <mergeCell ref="A1:D1"/>
    <mergeCell ref="A3:D3"/>
    <mergeCell ref="A9:D9"/>
    <mergeCell ref="A16:D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3"/>
  <sheetViews>
    <sheetView showGridLines="0" tabSelected="1" zoomScaleNormal="100" workbookViewId="0">
      <selection activeCell="C28" sqref="C28"/>
    </sheetView>
  </sheetViews>
  <sheetFormatPr baseColWidth="10" defaultColWidth="8.7109375" defaultRowHeight="15" x14ac:dyDescent="0.25"/>
  <cols>
    <col min="1" max="1" width="32" customWidth="1"/>
    <col min="2" max="3" width="22" customWidth="1"/>
    <col min="4" max="4" width="18" customWidth="1"/>
    <col min="5" max="5" width="14" customWidth="1"/>
    <col min="6" max="6" width="28" customWidth="1"/>
  </cols>
  <sheetData>
    <row r="1" spans="1:6" ht="30" customHeight="1" x14ac:dyDescent="0.25">
      <c r="A1" s="5" t="s">
        <v>28</v>
      </c>
      <c r="B1" s="5"/>
      <c r="C1" s="5"/>
      <c r="D1" s="5"/>
      <c r="E1" s="5"/>
      <c r="F1" s="5"/>
    </row>
    <row r="2" spans="1:6" ht="19.5" customHeight="1" x14ac:dyDescent="0.25">
      <c r="A2" s="10" t="s">
        <v>29</v>
      </c>
      <c r="B2" s="11">
        <v>1</v>
      </c>
      <c r="C2" s="10" t="s">
        <v>30</v>
      </c>
      <c r="D2" s="12">
        <v>46174</v>
      </c>
      <c r="E2" s="10" t="s">
        <v>31</v>
      </c>
      <c r="F2" s="12">
        <v>46178</v>
      </c>
    </row>
    <row r="3" spans="1:6" ht="18" customHeight="1" x14ac:dyDescent="0.25">
      <c r="A3" s="3" t="s">
        <v>32</v>
      </c>
      <c r="B3" s="3"/>
      <c r="C3" s="3"/>
      <c r="D3" s="3"/>
      <c r="E3" s="3"/>
      <c r="F3" s="3"/>
    </row>
    <row r="4" spans="1:6" ht="27.75" customHeight="1" x14ac:dyDescent="0.25">
      <c r="A4" s="13" t="s">
        <v>33</v>
      </c>
      <c r="B4" s="14" t="s">
        <v>34</v>
      </c>
      <c r="C4" s="14" t="s">
        <v>35</v>
      </c>
      <c r="D4" s="15" t="s">
        <v>36</v>
      </c>
      <c r="E4" s="15" t="s">
        <v>37</v>
      </c>
      <c r="F4" s="13" t="s">
        <v>38</v>
      </c>
    </row>
    <row r="5" spans="1:6" ht="15.75" customHeight="1" x14ac:dyDescent="0.25">
      <c r="A5" s="16" t="s">
        <v>39</v>
      </c>
      <c r="B5" s="17">
        <v>1366573012</v>
      </c>
      <c r="C5" s="17">
        <f>+B5/2</f>
        <v>683286506</v>
      </c>
      <c r="D5" s="18">
        <f t="shared" ref="D5:D16" si="0">C5-B5</f>
        <v>-683286506</v>
      </c>
      <c r="E5" s="19">
        <f t="shared" ref="E5:E16" si="1">IFERROR((C5-B5)/ABS(B5),0)</f>
        <v>-0.5</v>
      </c>
      <c r="F5" s="20"/>
    </row>
    <row r="6" spans="1:6" ht="15.75" customHeight="1" x14ac:dyDescent="0.25">
      <c r="A6" s="16" t="s">
        <v>40</v>
      </c>
      <c r="B6" s="17">
        <v>311411000</v>
      </c>
      <c r="C6" s="17">
        <f t="shared" ref="C6:C15" si="2">+B6/2</f>
        <v>155705500</v>
      </c>
      <c r="D6" s="18">
        <f t="shared" si="0"/>
        <v>-155705500</v>
      </c>
      <c r="E6" s="19">
        <f t="shared" si="1"/>
        <v>-0.5</v>
      </c>
      <c r="F6" s="20"/>
    </row>
    <row r="7" spans="1:6" ht="15.75" customHeight="1" x14ac:dyDescent="0.25">
      <c r="A7" s="16" t="s">
        <v>41</v>
      </c>
      <c r="B7" s="17">
        <v>13378000</v>
      </c>
      <c r="C7" s="17">
        <f t="shared" si="2"/>
        <v>6689000</v>
      </c>
      <c r="D7" s="18">
        <f t="shared" si="0"/>
        <v>-6689000</v>
      </c>
      <c r="E7" s="19">
        <f t="shared" si="1"/>
        <v>-0.5</v>
      </c>
      <c r="F7" s="20"/>
    </row>
    <row r="8" spans="1:6" ht="15.75" customHeight="1" x14ac:dyDescent="0.25">
      <c r="A8" s="16" t="s">
        <v>42</v>
      </c>
      <c r="B8" s="17">
        <v>2000000</v>
      </c>
      <c r="C8" s="17">
        <f t="shared" si="2"/>
        <v>1000000</v>
      </c>
      <c r="D8" s="18">
        <f t="shared" si="0"/>
        <v>-1000000</v>
      </c>
      <c r="E8" s="19">
        <f t="shared" si="1"/>
        <v>-0.5</v>
      </c>
      <c r="F8" s="20"/>
    </row>
    <row r="9" spans="1:6" ht="15.75" customHeight="1" x14ac:dyDescent="0.25">
      <c r="A9" s="16" t="s">
        <v>43</v>
      </c>
      <c r="B9" s="17">
        <v>534000</v>
      </c>
      <c r="C9" s="17">
        <f t="shared" si="2"/>
        <v>267000</v>
      </c>
      <c r="D9" s="18">
        <f t="shared" si="0"/>
        <v>-267000</v>
      </c>
      <c r="E9" s="19">
        <f t="shared" si="1"/>
        <v>-0.5</v>
      </c>
      <c r="F9" s="20"/>
    </row>
    <row r="10" spans="1:6" ht="15.75" customHeight="1" x14ac:dyDescent="0.25">
      <c r="A10" s="16" t="s">
        <v>44</v>
      </c>
      <c r="B10" s="17">
        <v>1400000000</v>
      </c>
      <c r="C10" s="17">
        <f t="shared" si="2"/>
        <v>700000000</v>
      </c>
      <c r="D10" s="18">
        <f t="shared" si="0"/>
        <v>-700000000</v>
      </c>
      <c r="E10" s="19">
        <f t="shared" si="1"/>
        <v>-0.5</v>
      </c>
      <c r="F10" s="20"/>
    </row>
    <row r="11" spans="1:6" ht="15.75" customHeight="1" x14ac:dyDescent="0.25">
      <c r="A11" s="16" t="s">
        <v>45</v>
      </c>
      <c r="B11" s="17">
        <v>230297735</v>
      </c>
      <c r="C11" s="17">
        <f t="shared" si="2"/>
        <v>115148867.5</v>
      </c>
      <c r="D11" s="18">
        <f t="shared" si="0"/>
        <v>-115148867.5</v>
      </c>
      <c r="E11" s="19">
        <f t="shared" si="1"/>
        <v>-0.5</v>
      </c>
      <c r="F11" s="20"/>
    </row>
    <row r="12" spans="1:6" ht="15.75" customHeight="1" x14ac:dyDescent="0.25">
      <c r="A12" s="16" t="s">
        <v>46</v>
      </c>
      <c r="B12" s="17">
        <v>3687740406</v>
      </c>
      <c r="C12" s="17">
        <f t="shared" si="2"/>
        <v>1843870203</v>
      </c>
      <c r="D12" s="18">
        <f t="shared" si="0"/>
        <v>-1843870203</v>
      </c>
      <c r="E12" s="19">
        <f t="shared" si="1"/>
        <v>-0.5</v>
      </c>
      <c r="F12" s="20"/>
    </row>
    <row r="13" spans="1:6" ht="15.75" customHeight="1" x14ac:dyDescent="0.25">
      <c r="A13" s="16" t="s">
        <v>47</v>
      </c>
      <c r="B13" s="17">
        <v>378000000</v>
      </c>
      <c r="C13" s="17">
        <f t="shared" si="2"/>
        <v>189000000</v>
      </c>
      <c r="D13" s="18">
        <f t="shared" si="0"/>
        <v>-189000000</v>
      </c>
      <c r="E13" s="19">
        <f t="shared" si="1"/>
        <v>-0.5</v>
      </c>
      <c r="F13" s="20"/>
    </row>
    <row r="14" spans="1:6" ht="15.75" customHeight="1" x14ac:dyDescent="0.25">
      <c r="A14" s="16" t="s">
        <v>48</v>
      </c>
      <c r="B14" s="17">
        <v>7908968914</v>
      </c>
      <c r="C14" s="17">
        <f t="shared" si="2"/>
        <v>3954484457</v>
      </c>
      <c r="D14" s="18">
        <f t="shared" si="0"/>
        <v>-3954484457</v>
      </c>
      <c r="E14" s="19">
        <f t="shared" si="1"/>
        <v>-0.5</v>
      </c>
      <c r="F14" s="20"/>
    </row>
    <row r="15" spans="1:6" ht="15.75" customHeight="1" x14ac:dyDescent="0.25">
      <c r="A15" s="16" t="s">
        <v>49</v>
      </c>
      <c r="B15" s="17">
        <v>278308206</v>
      </c>
      <c r="C15" s="17">
        <f t="shared" si="2"/>
        <v>139154103</v>
      </c>
      <c r="D15" s="18">
        <f t="shared" si="0"/>
        <v>-139154103</v>
      </c>
      <c r="E15" s="19">
        <f t="shared" si="1"/>
        <v>-0.5</v>
      </c>
      <c r="F15" s="20"/>
    </row>
    <row r="16" spans="1:6" ht="18" customHeight="1" x14ac:dyDescent="0.25">
      <c r="A16" s="10" t="s">
        <v>50</v>
      </c>
      <c r="B16" s="21">
        <f>SUM(B5:B15)</f>
        <v>15577211273</v>
      </c>
      <c r="C16" s="21">
        <f>SUM(C5:C15)</f>
        <v>7788605636.5</v>
      </c>
      <c r="D16" s="21">
        <f t="shared" si="0"/>
        <v>-7788605636.5</v>
      </c>
      <c r="E16" s="22">
        <f t="shared" si="1"/>
        <v>-0.5</v>
      </c>
      <c r="F16" s="23"/>
    </row>
    <row r="18" spans="1:6" ht="18" customHeight="1" x14ac:dyDescent="0.25">
      <c r="A18" s="2" t="s">
        <v>51</v>
      </c>
      <c r="B18" s="2"/>
      <c r="C18" s="2"/>
      <c r="D18" s="2"/>
      <c r="E18" s="2"/>
      <c r="F18" s="2"/>
    </row>
    <row r="19" spans="1:6" ht="27.75" customHeight="1" x14ac:dyDescent="0.25">
      <c r="A19" s="13" t="s">
        <v>52</v>
      </c>
      <c r="B19" s="24" t="s">
        <v>53</v>
      </c>
      <c r="C19" s="24" t="s">
        <v>54</v>
      </c>
      <c r="D19" s="25" t="s">
        <v>55</v>
      </c>
      <c r="E19" s="25" t="s">
        <v>56</v>
      </c>
      <c r="F19" s="13" t="s">
        <v>38</v>
      </c>
    </row>
    <row r="20" spans="1:6" ht="15.75" customHeight="1" x14ac:dyDescent="0.25">
      <c r="A20" s="16" t="s">
        <v>57</v>
      </c>
      <c r="B20" s="17">
        <v>851195332</v>
      </c>
      <c r="C20" s="17">
        <f>+B20/2</f>
        <v>425597666</v>
      </c>
      <c r="D20" s="26">
        <f t="shared" ref="D20:D33" si="3">C20-B20</f>
        <v>-425597666</v>
      </c>
      <c r="E20" s="27">
        <f t="shared" ref="E20:E33" si="4">IFERROR((C20-B20)/ABS(B20),0)</f>
        <v>-0.5</v>
      </c>
      <c r="F20" s="20"/>
    </row>
    <row r="21" spans="1:6" ht="15.75" customHeight="1" x14ac:dyDescent="0.25">
      <c r="A21" s="16" t="s">
        <v>58</v>
      </c>
      <c r="B21" s="17">
        <v>0</v>
      </c>
      <c r="C21" s="17">
        <v>0</v>
      </c>
      <c r="D21" s="26">
        <f t="shared" si="3"/>
        <v>0</v>
      </c>
      <c r="E21" s="27">
        <f t="shared" si="4"/>
        <v>0</v>
      </c>
      <c r="F21" s="20"/>
    </row>
    <row r="22" spans="1:6" ht="15.75" customHeight="1" x14ac:dyDescent="0.25">
      <c r="A22" s="16" t="s">
        <v>59</v>
      </c>
      <c r="B22" s="17">
        <v>120579418</v>
      </c>
      <c r="C22" s="17">
        <f>+B22/2</f>
        <v>60289709</v>
      </c>
      <c r="D22" s="26">
        <f t="shared" si="3"/>
        <v>-60289709</v>
      </c>
      <c r="E22" s="27">
        <f t="shared" si="4"/>
        <v>-0.5</v>
      </c>
      <c r="F22" s="20"/>
    </row>
    <row r="23" spans="1:6" ht="15.75" customHeight="1" x14ac:dyDescent="0.25">
      <c r="A23" s="16" t="s">
        <v>60</v>
      </c>
      <c r="B23" s="17">
        <v>0</v>
      </c>
      <c r="C23" s="17">
        <v>0</v>
      </c>
      <c r="D23" s="26">
        <f t="shared" si="3"/>
        <v>0</v>
      </c>
      <c r="E23" s="27">
        <f t="shared" si="4"/>
        <v>0</v>
      </c>
      <c r="F23" s="20"/>
    </row>
    <row r="24" spans="1:6" ht="15.75" customHeight="1" x14ac:dyDescent="0.25">
      <c r="A24" s="16" t="s">
        <v>61</v>
      </c>
      <c r="B24" s="17">
        <v>0</v>
      </c>
      <c r="C24" s="17">
        <v>0</v>
      </c>
      <c r="D24" s="26">
        <f t="shared" si="3"/>
        <v>0</v>
      </c>
      <c r="E24" s="27">
        <f t="shared" si="4"/>
        <v>0</v>
      </c>
      <c r="F24" s="20"/>
    </row>
    <row r="25" spans="1:6" ht="15.75" customHeight="1" x14ac:dyDescent="0.25">
      <c r="A25" s="16" t="s">
        <v>62</v>
      </c>
      <c r="B25" s="17">
        <v>0</v>
      </c>
      <c r="C25" s="17">
        <v>0</v>
      </c>
      <c r="D25" s="26">
        <f t="shared" si="3"/>
        <v>0</v>
      </c>
      <c r="E25" s="27">
        <f t="shared" si="4"/>
        <v>0</v>
      </c>
      <c r="F25" s="20"/>
    </row>
    <row r="26" spans="1:6" ht="15.75" customHeight="1" x14ac:dyDescent="0.25">
      <c r="A26" s="16" t="s">
        <v>63</v>
      </c>
      <c r="B26" s="17">
        <v>0</v>
      </c>
      <c r="C26" s="17">
        <v>0</v>
      </c>
      <c r="D26" s="26">
        <f t="shared" si="3"/>
        <v>0</v>
      </c>
      <c r="E26" s="27">
        <f t="shared" si="4"/>
        <v>0</v>
      </c>
      <c r="F26" s="20"/>
    </row>
    <row r="27" spans="1:6" ht="15.75" customHeight="1" x14ac:dyDescent="0.25">
      <c r="A27" s="16" t="s">
        <v>64</v>
      </c>
      <c r="B27" s="17">
        <v>646659954</v>
      </c>
      <c r="C27" s="17">
        <f>+B27/2</f>
        <v>323329977</v>
      </c>
      <c r="D27" s="26">
        <f t="shared" si="3"/>
        <v>-323329977</v>
      </c>
      <c r="E27" s="27">
        <f t="shared" si="4"/>
        <v>-0.5</v>
      </c>
      <c r="F27" s="20"/>
    </row>
    <row r="28" spans="1:6" ht="15.75" customHeight="1" x14ac:dyDescent="0.25">
      <c r="A28" s="16" t="s">
        <v>65</v>
      </c>
      <c r="B28" s="17">
        <v>0</v>
      </c>
      <c r="C28" s="17">
        <v>0</v>
      </c>
      <c r="D28" s="26">
        <f t="shared" si="3"/>
        <v>0</v>
      </c>
      <c r="E28" s="27">
        <f t="shared" si="4"/>
        <v>0</v>
      </c>
      <c r="F28" s="20"/>
    </row>
    <row r="29" spans="1:6" ht="15.75" customHeight="1" x14ac:dyDescent="0.25">
      <c r="A29" s="16" t="s">
        <v>66</v>
      </c>
      <c r="B29" s="17">
        <v>0</v>
      </c>
      <c r="C29" s="17">
        <v>0</v>
      </c>
      <c r="D29" s="26">
        <f t="shared" si="3"/>
        <v>0</v>
      </c>
      <c r="E29" s="27">
        <f t="shared" si="4"/>
        <v>0</v>
      </c>
      <c r="F29" s="20"/>
    </row>
    <row r="30" spans="1:6" ht="15.75" customHeight="1" x14ac:dyDescent="0.25">
      <c r="A30" s="16" t="s">
        <v>67</v>
      </c>
      <c r="B30" s="17">
        <v>0</v>
      </c>
      <c r="C30" s="17">
        <v>0</v>
      </c>
      <c r="D30" s="26">
        <f t="shared" si="3"/>
        <v>0</v>
      </c>
      <c r="E30" s="27">
        <f t="shared" si="4"/>
        <v>0</v>
      </c>
      <c r="F30" s="20"/>
    </row>
    <row r="31" spans="1:6" ht="15.75" customHeight="1" x14ac:dyDescent="0.25">
      <c r="A31" s="16" t="s">
        <v>68</v>
      </c>
      <c r="B31" s="17">
        <v>0</v>
      </c>
      <c r="C31" s="17">
        <v>0</v>
      </c>
      <c r="D31" s="26">
        <f t="shared" si="3"/>
        <v>0</v>
      </c>
      <c r="E31" s="27">
        <f t="shared" si="4"/>
        <v>0</v>
      </c>
      <c r="F31" s="20"/>
    </row>
    <row r="32" spans="1:6" ht="15.75" customHeight="1" x14ac:dyDescent="0.25">
      <c r="A32" s="16" t="s">
        <v>69</v>
      </c>
      <c r="B32" s="17">
        <v>0</v>
      </c>
      <c r="C32" s="17">
        <v>0</v>
      </c>
      <c r="D32" s="26">
        <f t="shared" si="3"/>
        <v>0</v>
      </c>
      <c r="E32" s="27">
        <f t="shared" si="4"/>
        <v>0</v>
      </c>
      <c r="F32" s="20"/>
    </row>
    <row r="33" spans="1:6" ht="18" customHeight="1" x14ac:dyDescent="0.25">
      <c r="A33" s="28" t="s">
        <v>70</v>
      </c>
      <c r="B33" s="29">
        <f>SUM(B20:B32)</f>
        <v>1618434704</v>
      </c>
      <c r="C33" s="29">
        <f>SUM(C20:C32)</f>
        <v>809217352</v>
      </c>
      <c r="D33" s="29">
        <f t="shared" si="3"/>
        <v>-809217352</v>
      </c>
      <c r="E33" s="30">
        <f t="shared" si="4"/>
        <v>-0.5</v>
      </c>
      <c r="F33" s="31"/>
    </row>
  </sheetData>
  <mergeCells count="3">
    <mergeCell ref="A1:F1"/>
    <mergeCell ref="A3:F3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3"/>
  <sheetViews>
    <sheetView showGridLines="0" zoomScaleNormal="100" workbookViewId="0"/>
  </sheetViews>
  <sheetFormatPr baseColWidth="10" defaultColWidth="8.7109375" defaultRowHeight="15" x14ac:dyDescent="0.25"/>
  <cols>
    <col min="1" max="1" width="32" customWidth="1"/>
    <col min="2" max="3" width="22" customWidth="1"/>
    <col min="4" max="4" width="18" customWidth="1"/>
    <col min="5" max="5" width="14" customWidth="1"/>
    <col min="6" max="6" width="28" customWidth="1"/>
  </cols>
  <sheetData>
    <row r="1" spans="1:6" ht="30" customHeight="1" x14ac:dyDescent="0.25">
      <c r="A1" s="5" t="s">
        <v>71</v>
      </c>
      <c r="B1" s="5"/>
      <c r="C1" s="5"/>
      <c r="D1" s="5"/>
      <c r="E1" s="5"/>
      <c r="F1" s="5"/>
    </row>
    <row r="2" spans="1:6" ht="19.5" customHeight="1" x14ac:dyDescent="0.25">
      <c r="A2" s="10" t="s">
        <v>29</v>
      </c>
      <c r="B2" s="11">
        <v>2</v>
      </c>
      <c r="C2" s="10" t="s">
        <v>30</v>
      </c>
      <c r="D2" s="12"/>
      <c r="E2" s="10" t="s">
        <v>31</v>
      </c>
      <c r="F2" s="12"/>
    </row>
    <row r="3" spans="1:6" ht="18" customHeight="1" x14ac:dyDescent="0.25">
      <c r="A3" s="3" t="s">
        <v>32</v>
      </c>
      <c r="B3" s="3"/>
      <c r="C3" s="3"/>
      <c r="D3" s="3"/>
      <c r="E3" s="3"/>
      <c r="F3" s="3"/>
    </row>
    <row r="4" spans="1:6" ht="27.75" customHeight="1" x14ac:dyDescent="0.25">
      <c r="A4" s="13" t="s">
        <v>33</v>
      </c>
      <c r="B4" s="14" t="s">
        <v>34</v>
      </c>
      <c r="C4" s="14" t="s">
        <v>35</v>
      </c>
      <c r="D4" s="15" t="s">
        <v>36</v>
      </c>
      <c r="E4" s="15" t="s">
        <v>37</v>
      </c>
      <c r="F4" s="13" t="s">
        <v>38</v>
      </c>
    </row>
    <row r="5" spans="1:6" ht="15.75" customHeight="1" x14ac:dyDescent="0.25">
      <c r="A5" s="16" t="s">
        <v>39</v>
      </c>
      <c r="B5" s="17">
        <v>0</v>
      </c>
      <c r="C5" s="17">
        <v>0</v>
      </c>
      <c r="D5" s="18">
        <f t="shared" ref="D5:D16" si="0">C5-B5</f>
        <v>0</v>
      </c>
      <c r="E5" s="19">
        <f t="shared" ref="E5:E16" si="1">IFERROR((C5-B5)/ABS(B5),0)</f>
        <v>0</v>
      </c>
      <c r="F5" s="20"/>
    </row>
    <row r="6" spans="1:6" ht="15.75" customHeight="1" x14ac:dyDescent="0.25">
      <c r="A6" s="16" t="s">
        <v>40</v>
      </c>
      <c r="B6" s="17">
        <v>0</v>
      </c>
      <c r="C6" s="17">
        <v>0</v>
      </c>
      <c r="D6" s="18">
        <f t="shared" si="0"/>
        <v>0</v>
      </c>
      <c r="E6" s="19">
        <f t="shared" si="1"/>
        <v>0</v>
      </c>
      <c r="F6" s="20"/>
    </row>
    <row r="7" spans="1:6" ht="15.75" customHeight="1" x14ac:dyDescent="0.25">
      <c r="A7" s="16" t="s">
        <v>41</v>
      </c>
      <c r="B7" s="17">
        <v>0</v>
      </c>
      <c r="C7" s="17">
        <v>0</v>
      </c>
      <c r="D7" s="18">
        <f t="shared" si="0"/>
        <v>0</v>
      </c>
      <c r="E7" s="19">
        <f t="shared" si="1"/>
        <v>0</v>
      </c>
      <c r="F7" s="20"/>
    </row>
    <row r="8" spans="1:6" ht="15.75" customHeight="1" x14ac:dyDescent="0.25">
      <c r="A8" s="16" t="s">
        <v>42</v>
      </c>
      <c r="B8" s="17">
        <v>0</v>
      </c>
      <c r="C8" s="17">
        <v>0</v>
      </c>
      <c r="D8" s="18">
        <f t="shared" si="0"/>
        <v>0</v>
      </c>
      <c r="E8" s="19">
        <f t="shared" si="1"/>
        <v>0</v>
      </c>
      <c r="F8" s="20"/>
    </row>
    <row r="9" spans="1:6" ht="15.75" customHeight="1" x14ac:dyDescent="0.25">
      <c r="A9" s="16" t="s">
        <v>43</v>
      </c>
      <c r="B9" s="17">
        <v>0</v>
      </c>
      <c r="C9" s="17">
        <v>0</v>
      </c>
      <c r="D9" s="18">
        <f t="shared" si="0"/>
        <v>0</v>
      </c>
      <c r="E9" s="19">
        <f t="shared" si="1"/>
        <v>0</v>
      </c>
      <c r="F9" s="20"/>
    </row>
    <row r="10" spans="1:6" ht="15.75" customHeight="1" x14ac:dyDescent="0.25">
      <c r="A10" s="16" t="s">
        <v>44</v>
      </c>
      <c r="B10" s="17">
        <v>0</v>
      </c>
      <c r="C10" s="17">
        <v>0</v>
      </c>
      <c r="D10" s="18">
        <f t="shared" si="0"/>
        <v>0</v>
      </c>
      <c r="E10" s="19">
        <f t="shared" si="1"/>
        <v>0</v>
      </c>
      <c r="F10" s="20"/>
    </row>
    <row r="11" spans="1:6" ht="15.75" customHeight="1" x14ac:dyDescent="0.25">
      <c r="A11" s="16" t="s">
        <v>45</v>
      </c>
      <c r="B11" s="17">
        <v>0</v>
      </c>
      <c r="C11" s="17">
        <v>0</v>
      </c>
      <c r="D11" s="18">
        <f t="shared" si="0"/>
        <v>0</v>
      </c>
      <c r="E11" s="19">
        <f t="shared" si="1"/>
        <v>0</v>
      </c>
      <c r="F11" s="20"/>
    </row>
    <row r="12" spans="1:6" ht="15.75" customHeight="1" x14ac:dyDescent="0.25">
      <c r="A12" s="16" t="s">
        <v>46</v>
      </c>
      <c r="B12" s="17">
        <v>0</v>
      </c>
      <c r="C12" s="17">
        <v>0</v>
      </c>
      <c r="D12" s="18">
        <f t="shared" si="0"/>
        <v>0</v>
      </c>
      <c r="E12" s="19">
        <f t="shared" si="1"/>
        <v>0</v>
      </c>
      <c r="F12" s="20"/>
    </row>
    <row r="13" spans="1:6" ht="15.75" customHeight="1" x14ac:dyDescent="0.25">
      <c r="A13" s="16" t="s">
        <v>47</v>
      </c>
      <c r="B13" s="17">
        <v>0</v>
      </c>
      <c r="C13" s="17">
        <v>0</v>
      </c>
      <c r="D13" s="18">
        <f t="shared" si="0"/>
        <v>0</v>
      </c>
      <c r="E13" s="19">
        <f t="shared" si="1"/>
        <v>0</v>
      </c>
      <c r="F13" s="20"/>
    </row>
    <row r="14" spans="1:6" ht="15.75" customHeight="1" x14ac:dyDescent="0.25">
      <c r="A14" s="16" t="s">
        <v>48</v>
      </c>
      <c r="B14" s="17">
        <v>0</v>
      </c>
      <c r="C14" s="17">
        <v>0</v>
      </c>
      <c r="D14" s="18">
        <f t="shared" si="0"/>
        <v>0</v>
      </c>
      <c r="E14" s="19">
        <f t="shared" si="1"/>
        <v>0</v>
      </c>
      <c r="F14" s="20"/>
    </row>
    <row r="15" spans="1:6" ht="15.75" customHeight="1" x14ac:dyDescent="0.25">
      <c r="A15" s="16" t="s">
        <v>49</v>
      </c>
      <c r="B15" s="17">
        <v>0</v>
      </c>
      <c r="C15" s="17">
        <v>0</v>
      </c>
      <c r="D15" s="18">
        <f t="shared" si="0"/>
        <v>0</v>
      </c>
      <c r="E15" s="19">
        <f t="shared" si="1"/>
        <v>0</v>
      </c>
      <c r="F15" s="20"/>
    </row>
    <row r="16" spans="1:6" ht="18" customHeight="1" x14ac:dyDescent="0.25">
      <c r="A16" s="10" t="s">
        <v>50</v>
      </c>
      <c r="B16" s="21">
        <f>SUM(B5:B15)</f>
        <v>0</v>
      </c>
      <c r="C16" s="21">
        <f>SUM(C5:C15)</f>
        <v>0</v>
      </c>
      <c r="D16" s="21">
        <f t="shared" si="0"/>
        <v>0</v>
      </c>
      <c r="E16" s="22">
        <f t="shared" si="1"/>
        <v>0</v>
      </c>
      <c r="F16" s="23"/>
    </row>
    <row r="18" spans="1:6" ht="18" customHeight="1" x14ac:dyDescent="0.25">
      <c r="A18" s="2" t="s">
        <v>51</v>
      </c>
      <c r="B18" s="2"/>
      <c r="C18" s="2"/>
      <c r="D18" s="2"/>
      <c r="E18" s="2"/>
      <c r="F18" s="2"/>
    </row>
    <row r="19" spans="1:6" ht="27.75" customHeight="1" x14ac:dyDescent="0.25">
      <c r="A19" s="13" t="s">
        <v>52</v>
      </c>
      <c r="B19" s="24" t="s">
        <v>53</v>
      </c>
      <c r="C19" s="24" t="s">
        <v>54</v>
      </c>
      <c r="D19" s="25" t="s">
        <v>55</v>
      </c>
      <c r="E19" s="25" t="s">
        <v>56</v>
      </c>
      <c r="F19" s="13" t="s">
        <v>38</v>
      </c>
    </row>
    <row r="20" spans="1:6" ht="15.75" customHeight="1" x14ac:dyDescent="0.25">
      <c r="A20" s="16" t="s">
        <v>57</v>
      </c>
      <c r="B20" s="17">
        <v>0</v>
      </c>
      <c r="C20" s="17">
        <v>0</v>
      </c>
      <c r="D20" s="26">
        <f t="shared" ref="D20:D33" si="2">C20-B20</f>
        <v>0</v>
      </c>
      <c r="E20" s="27">
        <f t="shared" ref="E20:E33" si="3">IFERROR((C20-B20)/ABS(B20),0)</f>
        <v>0</v>
      </c>
      <c r="F20" s="20"/>
    </row>
    <row r="21" spans="1:6" ht="15.75" customHeight="1" x14ac:dyDescent="0.25">
      <c r="A21" s="16" t="s">
        <v>58</v>
      </c>
      <c r="B21" s="17">
        <v>0</v>
      </c>
      <c r="C21" s="17">
        <v>0</v>
      </c>
      <c r="D21" s="26">
        <f t="shared" si="2"/>
        <v>0</v>
      </c>
      <c r="E21" s="27">
        <f t="shared" si="3"/>
        <v>0</v>
      </c>
      <c r="F21" s="20"/>
    </row>
    <row r="22" spans="1:6" ht="15.75" customHeight="1" x14ac:dyDescent="0.25">
      <c r="A22" s="16" t="s">
        <v>59</v>
      </c>
      <c r="B22" s="17">
        <v>0</v>
      </c>
      <c r="C22" s="17">
        <v>0</v>
      </c>
      <c r="D22" s="26">
        <f t="shared" si="2"/>
        <v>0</v>
      </c>
      <c r="E22" s="27">
        <f t="shared" si="3"/>
        <v>0</v>
      </c>
      <c r="F22" s="20"/>
    </row>
    <row r="23" spans="1:6" ht="15.75" customHeight="1" x14ac:dyDescent="0.25">
      <c r="A23" s="16" t="s">
        <v>60</v>
      </c>
      <c r="B23" s="17">
        <v>0</v>
      </c>
      <c r="C23" s="17">
        <v>0</v>
      </c>
      <c r="D23" s="26">
        <f t="shared" si="2"/>
        <v>0</v>
      </c>
      <c r="E23" s="27">
        <f t="shared" si="3"/>
        <v>0</v>
      </c>
      <c r="F23" s="20"/>
    </row>
    <row r="24" spans="1:6" ht="15.75" customHeight="1" x14ac:dyDescent="0.25">
      <c r="A24" s="16" t="s">
        <v>61</v>
      </c>
      <c r="B24" s="17">
        <v>0</v>
      </c>
      <c r="C24" s="17">
        <v>0</v>
      </c>
      <c r="D24" s="26">
        <f t="shared" si="2"/>
        <v>0</v>
      </c>
      <c r="E24" s="27">
        <f t="shared" si="3"/>
        <v>0</v>
      </c>
      <c r="F24" s="20"/>
    </row>
    <row r="25" spans="1:6" ht="15.75" customHeight="1" x14ac:dyDescent="0.25">
      <c r="A25" s="16" t="s">
        <v>62</v>
      </c>
      <c r="B25" s="17">
        <v>0</v>
      </c>
      <c r="C25" s="17">
        <v>0</v>
      </c>
      <c r="D25" s="26">
        <f t="shared" si="2"/>
        <v>0</v>
      </c>
      <c r="E25" s="27">
        <f t="shared" si="3"/>
        <v>0</v>
      </c>
      <c r="F25" s="20"/>
    </row>
    <row r="26" spans="1:6" ht="15.75" customHeight="1" x14ac:dyDescent="0.25">
      <c r="A26" s="16" t="s">
        <v>63</v>
      </c>
      <c r="B26" s="17">
        <v>0</v>
      </c>
      <c r="C26" s="17">
        <v>0</v>
      </c>
      <c r="D26" s="26">
        <f t="shared" si="2"/>
        <v>0</v>
      </c>
      <c r="E26" s="27">
        <f t="shared" si="3"/>
        <v>0</v>
      </c>
      <c r="F26" s="20"/>
    </row>
    <row r="27" spans="1:6" ht="15.75" customHeight="1" x14ac:dyDescent="0.25">
      <c r="A27" s="16" t="s">
        <v>64</v>
      </c>
      <c r="B27" s="17">
        <v>0</v>
      </c>
      <c r="C27" s="17">
        <v>0</v>
      </c>
      <c r="D27" s="26">
        <f t="shared" si="2"/>
        <v>0</v>
      </c>
      <c r="E27" s="27">
        <f t="shared" si="3"/>
        <v>0</v>
      </c>
      <c r="F27" s="20"/>
    </row>
    <row r="28" spans="1:6" ht="15.75" customHeight="1" x14ac:dyDescent="0.25">
      <c r="A28" s="16" t="s">
        <v>65</v>
      </c>
      <c r="B28" s="17">
        <v>0</v>
      </c>
      <c r="C28" s="17">
        <v>0</v>
      </c>
      <c r="D28" s="26">
        <f t="shared" si="2"/>
        <v>0</v>
      </c>
      <c r="E28" s="27">
        <f t="shared" si="3"/>
        <v>0</v>
      </c>
      <c r="F28" s="20"/>
    </row>
    <row r="29" spans="1:6" ht="15.75" customHeight="1" x14ac:dyDescent="0.25">
      <c r="A29" s="16" t="s">
        <v>66</v>
      </c>
      <c r="B29" s="17">
        <v>0</v>
      </c>
      <c r="C29" s="17">
        <v>0</v>
      </c>
      <c r="D29" s="26">
        <f t="shared" si="2"/>
        <v>0</v>
      </c>
      <c r="E29" s="27">
        <f t="shared" si="3"/>
        <v>0</v>
      </c>
      <c r="F29" s="20"/>
    </row>
    <row r="30" spans="1:6" ht="15.75" customHeight="1" x14ac:dyDescent="0.25">
      <c r="A30" s="16" t="s">
        <v>67</v>
      </c>
      <c r="B30" s="17">
        <v>0</v>
      </c>
      <c r="C30" s="17">
        <v>0</v>
      </c>
      <c r="D30" s="26">
        <f t="shared" si="2"/>
        <v>0</v>
      </c>
      <c r="E30" s="27">
        <f t="shared" si="3"/>
        <v>0</v>
      </c>
      <c r="F30" s="20"/>
    </row>
    <row r="31" spans="1:6" ht="15.75" customHeight="1" x14ac:dyDescent="0.25">
      <c r="A31" s="16" t="s">
        <v>68</v>
      </c>
      <c r="B31" s="17">
        <v>0</v>
      </c>
      <c r="C31" s="17">
        <v>0</v>
      </c>
      <c r="D31" s="26">
        <f t="shared" si="2"/>
        <v>0</v>
      </c>
      <c r="E31" s="27">
        <f t="shared" si="3"/>
        <v>0</v>
      </c>
      <c r="F31" s="20"/>
    </row>
    <row r="32" spans="1:6" ht="15.75" customHeight="1" x14ac:dyDescent="0.25">
      <c r="A32" s="16" t="s">
        <v>69</v>
      </c>
      <c r="B32" s="17">
        <v>0</v>
      </c>
      <c r="C32" s="17">
        <v>0</v>
      </c>
      <c r="D32" s="26">
        <f t="shared" si="2"/>
        <v>0</v>
      </c>
      <c r="E32" s="27">
        <f t="shared" si="3"/>
        <v>0</v>
      </c>
      <c r="F32" s="20"/>
    </row>
    <row r="33" spans="1:6" ht="18" customHeight="1" x14ac:dyDescent="0.25">
      <c r="A33" s="28" t="s">
        <v>70</v>
      </c>
      <c r="B33" s="29">
        <f>SUM(B20:B32)</f>
        <v>0</v>
      </c>
      <c r="C33" s="29">
        <f>SUM(C20:C32)</f>
        <v>0</v>
      </c>
      <c r="D33" s="29">
        <f t="shared" si="2"/>
        <v>0</v>
      </c>
      <c r="E33" s="30">
        <f t="shared" si="3"/>
        <v>0</v>
      </c>
      <c r="F33" s="31"/>
    </row>
  </sheetData>
  <mergeCells count="3">
    <mergeCell ref="A1:F1"/>
    <mergeCell ref="A3:F3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3"/>
  <sheetViews>
    <sheetView showGridLines="0" zoomScaleNormal="100" workbookViewId="0"/>
  </sheetViews>
  <sheetFormatPr baseColWidth="10" defaultColWidth="8.7109375" defaultRowHeight="15" x14ac:dyDescent="0.25"/>
  <cols>
    <col min="1" max="1" width="32" customWidth="1"/>
    <col min="2" max="3" width="22" customWidth="1"/>
    <col min="4" max="4" width="18" customWidth="1"/>
    <col min="5" max="5" width="14" customWidth="1"/>
    <col min="6" max="6" width="28" customWidth="1"/>
  </cols>
  <sheetData>
    <row r="1" spans="1:6" ht="30" customHeight="1" x14ac:dyDescent="0.25">
      <c r="A1" s="5" t="s">
        <v>72</v>
      </c>
      <c r="B1" s="5"/>
      <c r="C1" s="5"/>
      <c r="D1" s="5"/>
      <c r="E1" s="5"/>
      <c r="F1" s="5"/>
    </row>
    <row r="2" spans="1:6" ht="19.5" customHeight="1" x14ac:dyDescent="0.25">
      <c r="A2" s="10" t="s">
        <v>29</v>
      </c>
      <c r="B2" s="11">
        <v>3</v>
      </c>
      <c r="C2" s="10" t="s">
        <v>30</v>
      </c>
      <c r="D2" s="12"/>
      <c r="E2" s="10" t="s">
        <v>31</v>
      </c>
      <c r="F2" s="12"/>
    </row>
    <row r="3" spans="1:6" ht="18" customHeight="1" x14ac:dyDescent="0.25">
      <c r="A3" s="3" t="s">
        <v>32</v>
      </c>
      <c r="B3" s="3"/>
      <c r="C3" s="3"/>
      <c r="D3" s="3"/>
      <c r="E3" s="3"/>
      <c r="F3" s="3"/>
    </row>
    <row r="4" spans="1:6" ht="27.75" customHeight="1" x14ac:dyDescent="0.25">
      <c r="A4" s="13" t="s">
        <v>33</v>
      </c>
      <c r="B4" s="14" t="s">
        <v>34</v>
      </c>
      <c r="C4" s="14" t="s">
        <v>35</v>
      </c>
      <c r="D4" s="15" t="s">
        <v>36</v>
      </c>
      <c r="E4" s="15" t="s">
        <v>37</v>
      </c>
      <c r="F4" s="13" t="s">
        <v>38</v>
      </c>
    </row>
    <row r="5" spans="1:6" ht="15.75" customHeight="1" x14ac:dyDescent="0.25">
      <c r="A5" s="16" t="s">
        <v>39</v>
      </c>
      <c r="B5" s="17">
        <v>0</v>
      </c>
      <c r="C5" s="17">
        <v>0</v>
      </c>
      <c r="D5" s="18">
        <f t="shared" ref="D5:D16" si="0">C5-B5</f>
        <v>0</v>
      </c>
      <c r="E5" s="19">
        <f t="shared" ref="E5:E16" si="1">IFERROR((C5-B5)/ABS(B5),0)</f>
        <v>0</v>
      </c>
      <c r="F5" s="20"/>
    </row>
    <row r="6" spans="1:6" ht="15.75" customHeight="1" x14ac:dyDescent="0.25">
      <c r="A6" s="16" t="s">
        <v>40</v>
      </c>
      <c r="B6" s="17">
        <v>0</v>
      </c>
      <c r="C6" s="17">
        <v>0</v>
      </c>
      <c r="D6" s="18">
        <f t="shared" si="0"/>
        <v>0</v>
      </c>
      <c r="E6" s="19">
        <f t="shared" si="1"/>
        <v>0</v>
      </c>
      <c r="F6" s="20"/>
    </row>
    <row r="7" spans="1:6" ht="15.75" customHeight="1" x14ac:dyDescent="0.25">
      <c r="A7" s="16" t="s">
        <v>41</v>
      </c>
      <c r="B7" s="17">
        <v>0</v>
      </c>
      <c r="C7" s="17">
        <v>0</v>
      </c>
      <c r="D7" s="18">
        <f t="shared" si="0"/>
        <v>0</v>
      </c>
      <c r="E7" s="19">
        <f t="shared" si="1"/>
        <v>0</v>
      </c>
      <c r="F7" s="20"/>
    </row>
    <row r="8" spans="1:6" ht="15.75" customHeight="1" x14ac:dyDescent="0.25">
      <c r="A8" s="16" t="s">
        <v>42</v>
      </c>
      <c r="B8" s="17">
        <v>0</v>
      </c>
      <c r="C8" s="17">
        <v>0</v>
      </c>
      <c r="D8" s="18">
        <f t="shared" si="0"/>
        <v>0</v>
      </c>
      <c r="E8" s="19">
        <f t="shared" si="1"/>
        <v>0</v>
      </c>
      <c r="F8" s="20"/>
    </row>
    <row r="9" spans="1:6" ht="15.75" customHeight="1" x14ac:dyDescent="0.25">
      <c r="A9" s="16" t="s">
        <v>43</v>
      </c>
      <c r="B9" s="17">
        <v>0</v>
      </c>
      <c r="C9" s="17">
        <v>0</v>
      </c>
      <c r="D9" s="18">
        <f t="shared" si="0"/>
        <v>0</v>
      </c>
      <c r="E9" s="19">
        <f t="shared" si="1"/>
        <v>0</v>
      </c>
      <c r="F9" s="20"/>
    </row>
    <row r="10" spans="1:6" ht="15.75" customHeight="1" x14ac:dyDescent="0.25">
      <c r="A10" s="16" t="s">
        <v>44</v>
      </c>
      <c r="B10" s="17">
        <v>0</v>
      </c>
      <c r="C10" s="17">
        <v>0</v>
      </c>
      <c r="D10" s="18">
        <f t="shared" si="0"/>
        <v>0</v>
      </c>
      <c r="E10" s="19">
        <f t="shared" si="1"/>
        <v>0</v>
      </c>
      <c r="F10" s="20"/>
    </row>
    <row r="11" spans="1:6" ht="15.75" customHeight="1" x14ac:dyDescent="0.25">
      <c r="A11" s="16" t="s">
        <v>45</v>
      </c>
      <c r="B11" s="17">
        <v>0</v>
      </c>
      <c r="C11" s="17">
        <v>0</v>
      </c>
      <c r="D11" s="18">
        <f t="shared" si="0"/>
        <v>0</v>
      </c>
      <c r="E11" s="19">
        <f t="shared" si="1"/>
        <v>0</v>
      </c>
      <c r="F11" s="20"/>
    </row>
    <row r="12" spans="1:6" ht="15.75" customHeight="1" x14ac:dyDescent="0.25">
      <c r="A12" s="16" t="s">
        <v>46</v>
      </c>
      <c r="B12" s="17">
        <v>0</v>
      </c>
      <c r="C12" s="17">
        <v>0</v>
      </c>
      <c r="D12" s="18">
        <f t="shared" si="0"/>
        <v>0</v>
      </c>
      <c r="E12" s="19">
        <f t="shared" si="1"/>
        <v>0</v>
      </c>
      <c r="F12" s="20"/>
    </row>
    <row r="13" spans="1:6" ht="15.75" customHeight="1" x14ac:dyDescent="0.25">
      <c r="A13" s="16" t="s">
        <v>47</v>
      </c>
      <c r="B13" s="17">
        <v>0</v>
      </c>
      <c r="C13" s="17">
        <v>0</v>
      </c>
      <c r="D13" s="18">
        <f t="shared" si="0"/>
        <v>0</v>
      </c>
      <c r="E13" s="19">
        <f t="shared" si="1"/>
        <v>0</v>
      </c>
      <c r="F13" s="20"/>
    </row>
    <row r="14" spans="1:6" ht="15.75" customHeight="1" x14ac:dyDescent="0.25">
      <c r="A14" s="16" t="s">
        <v>48</v>
      </c>
      <c r="B14" s="17">
        <v>0</v>
      </c>
      <c r="C14" s="17">
        <v>0</v>
      </c>
      <c r="D14" s="18">
        <f t="shared" si="0"/>
        <v>0</v>
      </c>
      <c r="E14" s="19">
        <f t="shared" si="1"/>
        <v>0</v>
      </c>
      <c r="F14" s="20"/>
    </row>
    <row r="15" spans="1:6" ht="15.75" customHeight="1" x14ac:dyDescent="0.25">
      <c r="A15" s="16" t="s">
        <v>49</v>
      </c>
      <c r="B15" s="17">
        <v>0</v>
      </c>
      <c r="C15" s="17">
        <v>0</v>
      </c>
      <c r="D15" s="18">
        <f t="shared" si="0"/>
        <v>0</v>
      </c>
      <c r="E15" s="19">
        <f t="shared" si="1"/>
        <v>0</v>
      </c>
      <c r="F15" s="20"/>
    </row>
    <row r="16" spans="1:6" ht="18" customHeight="1" x14ac:dyDescent="0.25">
      <c r="A16" s="10" t="s">
        <v>50</v>
      </c>
      <c r="B16" s="21">
        <f>SUM(B5:B15)</f>
        <v>0</v>
      </c>
      <c r="C16" s="21">
        <f>SUM(C5:C15)</f>
        <v>0</v>
      </c>
      <c r="D16" s="21">
        <f t="shared" si="0"/>
        <v>0</v>
      </c>
      <c r="E16" s="22">
        <f t="shared" si="1"/>
        <v>0</v>
      </c>
      <c r="F16" s="23"/>
    </row>
    <row r="18" spans="1:6" ht="18" customHeight="1" x14ac:dyDescent="0.25">
      <c r="A18" s="2" t="s">
        <v>51</v>
      </c>
      <c r="B18" s="2"/>
      <c r="C18" s="2"/>
      <c r="D18" s="2"/>
      <c r="E18" s="2"/>
      <c r="F18" s="2"/>
    </row>
    <row r="19" spans="1:6" ht="27.75" customHeight="1" x14ac:dyDescent="0.25">
      <c r="A19" s="13" t="s">
        <v>52</v>
      </c>
      <c r="B19" s="24" t="s">
        <v>53</v>
      </c>
      <c r="C19" s="24" t="s">
        <v>54</v>
      </c>
      <c r="D19" s="25" t="s">
        <v>55</v>
      </c>
      <c r="E19" s="25" t="s">
        <v>56</v>
      </c>
      <c r="F19" s="13" t="s">
        <v>38</v>
      </c>
    </row>
    <row r="20" spans="1:6" ht="15.75" customHeight="1" x14ac:dyDescent="0.25">
      <c r="A20" s="16" t="s">
        <v>57</v>
      </c>
      <c r="B20" s="17">
        <v>0</v>
      </c>
      <c r="C20" s="17">
        <v>0</v>
      </c>
      <c r="D20" s="26">
        <f t="shared" ref="D20:D33" si="2">C20-B20</f>
        <v>0</v>
      </c>
      <c r="E20" s="27">
        <f t="shared" ref="E20:E33" si="3">IFERROR((C20-B20)/ABS(B20),0)</f>
        <v>0</v>
      </c>
      <c r="F20" s="20"/>
    </row>
    <row r="21" spans="1:6" ht="15.75" customHeight="1" x14ac:dyDescent="0.25">
      <c r="A21" s="16" t="s">
        <v>58</v>
      </c>
      <c r="B21" s="17">
        <v>0</v>
      </c>
      <c r="C21" s="17">
        <v>0</v>
      </c>
      <c r="D21" s="26">
        <f t="shared" si="2"/>
        <v>0</v>
      </c>
      <c r="E21" s="27">
        <f t="shared" si="3"/>
        <v>0</v>
      </c>
      <c r="F21" s="20"/>
    </row>
    <row r="22" spans="1:6" ht="15.75" customHeight="1" x14ac:dyDescent="0.25">
      <c r="A22" s="16" t="s">
        <v>59</v>
      </c>
      <c r="B22" s="17">
        <v>0</v>
      </c>
      <c r="C22" s="17">
        <v>0</v>
      </c>
      <c r="D22" s="26">
        <f t="shared" si="2"/>
        <v>0</v>
      </c>
      <c r="E22" s="27">
        <f t="shared" si="3"/>
        <v>0</v>
      </c>
      <c r="F22" s="20"/>
    </row>
    <row r="23" spans="1:6" ht="15.75" customHeight="1" x14ac:dyDescent="0.25">
      <c r="A23" s="16" t="s">
        <v>60</v>
      </c>
      <c r="B23" s="17">
        <v>0</v>
      </c>
      <c r="C23" s="17">
        <v>0</v>
      </c>
      <c r="D23" s="26">
        <f t="shared" si="2"/>
        <v>0</v>
      </c>
      <c r="E23" s="27">
        <f t="shared" si="3"/>
        <v>0</v>
      </c>
      <c r="F23" s="20"/>
    </row>
    <row r="24" spans="1:6" ht="15.75" customHeight="1" x14ac:dyDescent="0.25">
      <c r="A24" s="16" t="s">
        <v>61</v>
      </c>
      <c r="B24" s="17">
        <v>0</v>
      </c>
      <c r="C24" s="17">
        <v>0</v>
      </c>
      <c r="D24" s="26">
        <f t="shared" si="2"/>
        <v>0</v>
      </c>
      <c r="E24" s="27">
        <f t="shared" si="3"/>
        <v>0</v>
      </c>
      <c r="F24" s="20"/>
    </row>
    <row r="25" spans="1:6" ht="15.75" customHeight="1" x14ac:dyDescent="0.25">
      <c r="A25" s="16" t="s">
        <v>62</v>
      </c>
      <c r="B25" s="17">
        <v>0</v>
      </c>
      <c r="C25" s="17">
        <v>0</v>
      </c>
      <c r="D25" s="26">
        <f t="shared" si="2"/>
        <v>0</v>
      </c>
      <c r="E25" s="27">
        <f t="shared" si="3"/>
        <v>0</v>
      </c>
      <c r="F25" s="20"/>
    </row>
    <row r="26" spans="1:6" ht="15.75" customHeight="1" x14ac:dyDescent="0.25">
      <c r="A26" s="16" t="s">
        <v>63</v>
      </c>
      <c r="B26" s="17">
        <v>0</v>
      </c>
      <c r="C26" s="17">
        <v>0</v>
      </c>
      <c r="D26" s="26">
        <f t="shared" si="2"/>
        <v>0</v>
      </c>
      <c r="E26" s="27">
        <f t="shared" si="3"/>
        <v>0</v>
      </c>
      <c r="F26" s="20"/>
    </row>
    <row r="27" spans="1:6" ht="15.75" customHeight="1" x14ac:dyDescent="0.25">
      <c r="A27" s="16" t="s">
        <v>64</v>
      </c>
      <c r="B27" s="17">
        <v>0</v>
      </c>
      <c r="C27" s="17">
        <v>0</v>
      </c>
      <c r="D27" s="26">
        <f t="shared" si="2"/>
        <v>0</v>
      </c>
      <c r="E27" s="27">
        <f t="shared" si="3"/>
        <v>0</v>
      </c>
      <c r="F27" s="20"/>
    </row>
    <row r="28" spans="1:6" ht="15.75" customHeight="1" x14ac:dyDescent="0.25">
      <c r="A28" s="16" t="s">
        <v>65</v>
      </c>
      <c r="B28" s="17">
        <v>0</v>
      </c>
      <c r="C28" s="17">
        <v>0</v>
      </c>
      <c r="D28" s="26">
        <f t="shared" si="2"/>
        <v>0</v>
      </c>
      <c r="E28" s="27">
        <f t="shared" si="3"/>
        <v>0</v>
      </c>
      <c r="F28" s="20"/>
    </row>
    <row r="29" spans="1:6" ht="15.75" customHeight="1" x14ac:dyDescent="0.25">
      <c r="A29" s="16" t="s">
        <v>66</v>
      </c>
      <c r="B29" s="17">
        <v>0</v>
      </c>
      <c r="C29" s="17">
        <v>0</v>
      </c>
      <c r="D29" s="26">
        <f t="shared" si="2"/>
        <v>0</v>
      </c>
      <c r="E29" s="27">
        <f t="shared" si="3"/>
        <v>0</v>
      </c>
      <c r="F29" s="20"/>
    </row>
    <row r="30" spans="1:6" ht="15.75" customHeight="1" x14ac:dyDescent="0.25">
      <c r="A30" s="16" t="s">
        <v>67</v>
      </c>
      <c r="B30" s="17">
        <v>0</v>
      </c>
      <c r="C30" s="17">
        <v>0</v>
      </c>
      <c r="D30" s="26">
        <f t="shared" si="2"/>
        <v>0</v>
      </c>
      <c r="E30" s="27">
        <f t="shared" si="3"/>
        <v>0</v>
      </c>
      <c r="F30" s="20"/>
    </row>
    <row r="31" spans="1:6" ht="15.75" customHeight="1" x14ac:dyDescent="0.25">
      <c r="A31" s="16" t="s">
        <v>68</v>
      </c>
      <c r="B31" s="17">
        <v>0</v>
      </c>
      <c r="C31" s="17">
        <v>0</v>
      </c>
      <c r="D31" s="26">
        <f t="shared" si="2"/>
        <v>0</v>
      </c>
      <c r="E31" s="27">
        <f t="shared" si="3"/>
        <v>0</v>
      </c>
      <c r="F31" s="20"/>
    </row>
    <row r="32" spans="1:6" ht="15.75" customHeight="1" x14ac:dyDescent="0.25">
      <c r="A32" s="16" t="s">
        <v>69</v>
      </c>
      <c r="B32" s="17">
        <v>0</v>
      </c>
      <c r="C32" s="17">
        <v>0</v>
      </c>
      <c r="D32" s="26">
        <f t="shared" si="2"/>
        <v>0</v>
      </c>
      <c r="E32" s="27">
        <f t="shared" si="3"/>
        <v>0</v>
      </c>
      <c r="F32" s="20"/>
    </row>
    <row r="33" spans="1:6" ht="18" customHeight="1" x14ac:dyDescent="0.25">
      <c r="A33" s="28" t="s">
        <v>70</v>
      </c>
      <c r="B33" s="29">
        <f>SUM(B20:B32)</f>
        <v>0</v>
      </c>
      <c r="C33" s="29">
        <f>SUM(C20:C32)</f>
        <v>0</v>
      </c>
      <c r="D33" s="29">
        <f t="shared" si="2"/>
        <v>0</v>
      </c>
      <c r="E33" s="30">
        <f t="shared" si="3"/>
        <v>0</v>
      </c>
      <c r="F33" s="31"/>
    </row>
  </sheetData>
  <mergeCells count="3">
    <mergeCell ref="A1:F1"/>
    <mergeCell ref="A3:F3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3"/>
  <sheetViews>
    <sheetView showGridLines="0" zoomScaleNormal="100" workbookViewId="0"/>
  </sheetViews>
  <sheetFormatPr baseColWidth="10" defaultColWidth="8.7109375" defaultRowHeight="15" x14ac:dyDescent="0.25"/>
  <cols>
    <col min="1" max="1" width="32" customWidth="1"/>
    <col min="2" max="3" width="22" customWidth="1"/>
    <col min="4" max="4" width="18" customWidth="1"/>
    <col min="5" max="5" width="14" customWidth="1"/>
    <col min="6" max="6" width="28" customWidth="1"/>
  </cols>
  <sheetData>
    <row r="1" spans="1:6" ht="30" customHeight="1" x14ac:dyDescent="0.25">
      <c r="A1" s="5" t="s">
        <v>73</v>
      </c>
      <c r="B1" s="5"/>
      <c r="C1" s="5"/>
      <c r="D1" s="5"/>
      <c r="E1" s="5"/>
      <c r="F1" s="5"/>
    </row>
    <row r="2" spans="1:6" ht="19.5" customHeight="1" x14ac:dyDescent="0.25">
      <c r="A2" s="10" t="s">
        <v>29</v>
      </c>
      <c r="B2" s="11">
        <v>4</v>
      </c>
      <c r="C2" s="10" t="s">
        <v>30</v>
      </c>
      <c r="D2" s="12"/>
      <c r="E2" s="10" t="s">
        <v>31</v>
      </c>
      <c r="F2" s="12"/>
    </row>
    <row r="3" spans="1:6" ht="18" customHeight="1" x14ac:dyDescent="0.25">
      <c r="A3" s="3" t="s">
        <v>32</v>
      </c>
      <c r="B3" s="3"/>
      <c r="C3" s="3"/>
      <c r="D3" s="3"/>
      <c r="E3" s="3"/>
      <c r="F3" s="3"/>
    </row>
    <row r="4" spans="1:6" ht="27.75" customHeight="1" x14ac:dyDescent="0.25">
      <c r="A4" s="13" t="s">
        <v>33</v>
      </c>
      <c r="B4" s="14" t="s">
        <v>34</v>
      </c>
      <c r="C4" s="14" t="s">
        <v>35</v>
      </c>
      <c r="D4" s="15" t="s">
        <v>36</v>
      </c>
      <c r="E4" s="15" t="s">
        <v>37</v>
      </c>
      <c r="F4" s="13" t="s">
        <v>38</v>
      </c>
    </row>
    <row r="5" spans="1:6" ht="15.75" customHeight="1" x14ac:dyDescent="0.25">
      <c r="A5" s="16" t="s">
        <v>39</v>
      </c>
      <c r="B5" s="17">
        <v>0</v>
      </c>
      <c r="C5" s="17">
        <v>0</v>
      </c>
      <c r="D5" s="18">
        <f t="shared" ref="D5:D16" si="0">C5-B5</f>
        <v>0</v>
      </c>
      <c r="E5" s="19">
        <f t="shared" ref="E5:E16" si="1">IFERROR((C5-B5)/ABS(B5),0)</f>
        <v>0</v>
      </c>
      <c r="F5" s="20"/>
    </row>
    <row r="6" spans="1:6" ht="15.75" customHeight="1" x14ac:dyDescent="0.25">
      <c r="A6" s="16" t="s">
        <v>40</v>
      </c>
      <c r="B6" s="17">
        <v>0</v>
      </c>
      <c r="C6" s="17">
        <v>0</v>
      </c>
      <c r="D6" s="18">
        <f t="shared" si="0"/>
        <v>0</v>
      </c>
      <c r="E6" s="19">
        <f t="shared" si="1"/>
        <v>0</v>
      </c>
      <c r="F6" s="20"/>
    </row>
    <row r="7" spans="1:6" ht="15.75" customHeight="1" x14ac:dyDescent="0.25">
      <c r="A7" s="16" t="s">
        <v>41</v>
      </c>
      <c r="B7" s="17">
        <v>0</v>
      </c>
      <c r="C7" s="17">
        <v>0</v>
      </c>
      <c r="D7" s="18">
        <f t="shared" si="0"/>
        <v>0</v>
      </c>
      <c r="E7" s="19">
        <f t="shared" si="1"/>
        <v>0</v>
      </c>
      <c r="F7" s="20"/>
    </row>
    <row r="8" spans="1:6" ht="15.75" customHeight="1" x14ac:dyDescent="0.25">
      <c r="A8" s="16" t="s">
        <v>42</v>
      </c>
      <c r="B8" s="17">
        <v>0</v>
      </c>
      <c r="C8" s="17">
        <v>0</v>
      </c>
      <c r="D8" s="18">
        <f t="shared" si="0"/>
        <v>0</v>
      </c>
      <c r="E8" s="19">
        <f t="shared" si="1"/>
        <v>0</v>
      </c>
      <c r="F8" s="20"/>
    </row>
    <row r="9" spans="1:6" ht="15.75" customHeight="1" x14ac:dyDescent="0.25">
      <c r="A9" s="16" t="s">
        <v>43</v>
      </c>
      <c r="B9" s="17">
        <v>0</v>
      </c>
      <c r="C9" s="17">
        <v>0</v>
      </c>
      <c r="D9" s="18">
        <f t="shared" si="0"/>
        <v>0</v>
      </c>
      <c r="E9" s="19">
        <f t="shared" si="1"/>
        <v>0</v>
      </c>
      <c r="F9" s="20"/>
    </row>
    <row r="10" spans="1:6" ht="15.75" customHeight="1" x14ac:dyDescent="0.25">
      <c r="A10" s="16" t="s">
        <v>44</v>
      </c>
      <c r="B10" s="17">
        <v>0</v>
      </c>
      <c r="C10" s="17">
        <v>0</v>
      </c>
      <c r="D10" s="18">
        <f t="shared" si="0"/>
        <v>0</v>
      </c>
      <c r="E10" s="19">
        <f t="shared" si="1"/>
        <v>0</v>
      </c>
      <c r="F10" s="20"/>
    </row>
    <row r="11" spans="1:6" ht="15.75" customHeight="1" x14ac:dyDescent="0.25">
      <c r="A11" s="16" t="s">
        <v>45</v>
      </c>
      <c r="B11" s="17">
        <v>0</v>
      </c>
      <c r="C11" s="17">
        <v>0</v>
      </c>
      <c r="D11" s="18">
        <f t="shared" si="0"/>
        <v>0</v>
      </c>
      <c r="E11" s="19">
        <f t="shared" si="1"/>
        <v>0</v>
      </c>
      <c r="F11" s="20"/>
    </row>
    <row r="12" spans="1:6" ht="15.75" customHeight="1" x14ac:dyDescent="0.25">
      <c r="A12" s="16" t="s">
        <v>46</v>
      </c>
      <c r="B12" s="17">
        <v>0</v>
      </c>
      <c r="C12" s="17">
        <v>0</v>
      </c>
      <c r="D12" s="18">
        <f t="shared" si="0"/>
        <v>0</v>
      </c>
      <c r="E12" s="19">
        <f t="shared" si="1"/>
        <v>0</v>
      </c>
      <c r="F12" s="20"/>
    </row>
    <row r="13" spans="1:6" ht="15.75" customHeight="1" x14ac:dyDescent="0.25">
      <c r="A13" s="16" t="s">
        <v>47</v>
      </c>
      <c r="B13" s="17">
        <v>0</v>
      </c>
      <c r="C13" s="17">
        <v>0</v>
      </c>
      <c r="D13" s="18">
        <f t="shared" si="0"/>
        <v>0</v>
      </c>
      <c r="E13" s="19">
        <f t="shared" si="1"/>
        <v>0</v>
      </c>
      <c r="F13" s="20"/>
    </row>
    <row r="14" spans="1:6" ht="15.75" customHeight="1" x14ac:dyDescent="0.25">
      <c r="A14" s="16" t="s">
        <v>48</v>
      </c>
      <c r="B14" s="17">
        <v>0</v>
      </c>
      <c r="C14" s="17">
        <v>0</v>
      </c>
      <c r="D14" s="18">
        <f t="shared" si="0"/>
        <v>0</v>
      </c>
      <c r="E14" s="19">
        <f t="shared" si="1"/>
        <v>0</v>
      </c>
      <c r="F14" s="20"/>
    </row>
    <row r="15" spans="1:6" ht="15.75" customHeight="1" x14ac:dyDescent="0.25">
      <c r="A15" s="16" t="s">
        <v>49</v>
      </c>
      <c r="B15" s="17">
        <v>0</v>
      </c>
      <c r="C15" s="17">
        <v>0</v>
      </c>
      <c r="D15" s="18">
        <f t="shared" si="0"/>
        <v>0</v>
      </c>
      <c r="E15" s="19">
        <f t="shared" si="1"/>
        <v>0</v>
      </c>
      <c r="F15" s="20"/>
    </row>
    <row r="16" spans="1:6" ht="18" customHeight="1" x14ac:dyDescent="0.25">
      <c r="A16" s="10" t="s">
        <v>50</v>
      </c>
      <c r="B16" s="21">
        <f>SUM(B5:B15)</f>
        <v>0</v>
      </c>
      <c r="C16" s="21">
        <f>SUM(C5:C15)</f>
        <v>0</v>
      </c>
      <c r="D16" s="21">
        <f t="shared" si="0"/>
        <v>0</v>
      </c>
      <c r="E16" s="22">
        <f t="shared" si="1"/>
        <v>0</v>
      </c>
      <c r="F16" s="23"/>
    </row>
    <row r="18" spans="1:6" ht="18" customHeight="1" x14ac:dyDescent="0.25">
      <c r="A18" s="2" t="s">
        <v>51</v>
      </c>
      <c r="B18" s="2"/>
      <c r="C18" s="2"/>
      <c r="D18" s="2"/>
      <c r="E18" s="2"/>
      <c r="F18" s="2"/>
    </row>
    <row r="19" spans="1:6" ht="27.75" customHeight="1" x14ac:dyDescent="0.25">
      <c r="A19" s="13" t="s">
        <v>52</v>
      </c>
      <c r="B19" s="24" t="s">
        <v>53</v>
      </c>
      <c r="C19" s="24" t="s">
        <v>54</v>
      </c>
      <c r="D19" s="25" t="s">
        <v>55</v>
      </c>
      <c r="E19" s="25" t="s">
        <v>56</v>
      </c>
      <c r="F19" s="13" t="s">
        <v>38</v>
      </c>
    </row>
    <row r="20" spans="1:6" ht="15.75" customHeight="1" x14ac:dyDescent="0.25">
      <c r="A20" s="16" t="s">
        <v>57</v>
      </c>
      <c r="B20" s="17">
        <v>0</v>
      </c>
      <c r="C20" s="17">
        <v>0</v>
      </c>
      <c r="D20" s="26">
        <f t="shared" ref="D20:D33" si="2">C20-B20</f>
        <v>0</v>
      </c>
      <c r="E20" s="27">
        <f t="shared" ref="E20:E33" si="3">IFERROR((C20-B20)/ABS(B20),0)</f>
        <v>0</v>
      </c>
      <c r="F20" s="20"/>
    </row>
    <row r="21" spans="1:6" ht="15.75" customHeight="1" x14ac:dyDescent="0.25">
      <c r="A21" s="16" t="s">
        <v>58</v>
      </c>
      <c r="B21" s="17">
        <v>0</v>
      </c>
      <c r="C21" s="17">
        <v>0</v>
      </c>
      <c r="D21" s="26">
        <f t="shared" si="2"/>
        <v>0</v>
      </c>
      <c r="E21" s="27">
        <f t="shared" si="3"/>
        <v>0</v>
      </c>
      <c r="F21" s="20"/>
    </row>
    <row r="22" spans="1:6" ht="15.75" customHeight="1" x14ac:dyDescent="0.25">
      <c r="A22" s="16" t="s">
        <v>59</v>
      </c>
      <c r="B22" s="17">
        <v>0</v>
      </c>
      <c r="C22" s="17">
        <v>0</v>
      </c>
      <c r="D22" s="26">
        <f t="shared" si="2"/>
        <v>0</v>
      </c>
      <c r="E22" s="27">
        <f t="shared" si="3"/>
        <v>0</v>
      </c>
      <c r="F22" s="20"/>
    </row>
    <row r="23" spans="1:6" ht="15.75" customHeight="1" x14ac:dyDescent="0.25">
      <c r="A23" s="16" t="s">
        <v>60</v>
      </c>
      <c r="B23" s="17">
        <v>0</v>
      </c>
      <c r="C23" s="17">
        <v>0</v>
      </c>
      <c r="D23" s="26">
        <f t="shared" si="2"/>
        <v>0</v>
      </c>
      <c r="E23" s="27">
        <f t="shared" si="3"/>
        <v>0</v>
      </c>
      <c r="F23" s="20"/>
    </row>
    <row r="24" spans="1:6" ht="15.75" customHeight="1" x14ac:dyDescent="0.25">
      <c r="A24" s="16" t="s">
        <v>61</v>
      </c>
      <c r="B24" s="17">
        <v>0</v>
      </c>
      <c r="C24" s="17">
        <v>0</v>
      </c>
      <c r="D24" s="26">
        <f t="shared" si="2"/>
        <v>0</v>
      </c>
      <c r="E24" s="27">
        <f t="shared" si="3"/>
        <v>0</v>
      </c>
      <c r="F24" s="20"/>
    </row>
    <row r="25" spans="1:6" ht="15.75" customHeight="1" x14ac:dyDescent="0.25">
      <c r="A25" s="16" t="s">
        <v>62</v>
      </c>
      <c r="B25" s="17">
        <v>0</v>
      </c>
      <c r="C25" s="17">
        <v>0</v>
      </c>
      <c r="D25" s="26">
        <f t="shared" si="2"/>
        <v>0</v>
      </c>
      <c r="E25" s="27">
        <f t="shared" si="3"/>
        <v>0</v>
      </c>
      <c r="F25" s="20"/>
    </row>
    <row r="26" spans="1:6" ht="15.75" customHeight="1" x14ac:dyDescent="0.25">
      <c r="A26" s="16" t="s">
        <v>63</v>
      </c>
      <c r="B26" s="17">
        <v>0</v>
      </c>
      <c r="C26" s="17">
        <v>0</v>
      </c>
      <c r="D26" s="26">
        <f t="shared" si="2"/>
        <v>0</v>
      </c>
      <c r="E26" s="27">
        <f t="shared" si="3"/>
        <v>0</v>
      </c>
      <c r="F26" s="20"/>
    </row>
    <row r="27" spans="1:6" ht="15.75" customHeight="1" x14ac:dyDescent="0.25">
      <c r="A27" s="16" t="s">
        <v>64</v>
      </c>
      <c r="B27" s="17">
        <v>0</v>
      </c>
      <c r="C27" s="17">
        <v>0</v>
      </c>
      <c r="D27" s="26">
        <f t="shared" si="2"/>
        <v>0</v>
      </c>
      <c r="E27" s="27">
        <f t="shared" si="3"/>
        <v>0</v>
      </c>
      <c r="F27" s="20"/>
    </row>
    <row r="28" spans="1:6" ht="15.75" customHeight="1" x14ac:dyDescent="0.25">
      <c r="A28" s="16" t="s">
        <v>65</v>
      </c>
      <c r="B28" s="17">
        <v>0</v>
      </c>
      <c r="C28" s="17">
        <v>0</v>
      </c>
      <c r="D28" s="26">
        <f t="shared" si="2"/>
        <v>0</v>
      </c>
      <c r="E28" s="27">
        <f t="shared" si="3"/>
        <v>0</v>
      </c>
      <c r="F28" s="20"/>
    </row>
    <row r="29" spans="1:6" ht="15.75" customHeight="1" x14ac:dyDescent="0.25">
      <c r="A29" s="16" t="s">
        <v>66</v>
      </c>
      <c r="B29" s="17">
        <v>0</v>
      </c>
      <c r="C29" s="17">
        <v>0</v>
      </c>
      <c r="D29" s="26">
        <f t="shared" si="2"/>
        <v>0</v>
      </c>
      <c r="E29" s="27">
        <f t="shared" si="3"/>
        <v>0</v>
      </c>
      <c r="F29" s="20"/>
    </row>
    <row r="30" spans="1:6" ht="15.75" customHeight="1" x14ac:dyDescent="0.25">
      <c r="A30" s="16" t="s">
        <v>67</v>
      </c>
      <c r="B30" s="17">
        <v>0</v>
      </c>
      <c r="C30" s="17">
        <v>0</v>
      </c>
      <c r="D30" s="26">
        <f t="shared" si="2"/>
        <v>0</v>
      </c>
      <c r="E30" s="27">
        <f t="shared" si="3"/>
        <v>0</v>
      </c>
      <c r="F30" s="20"/>
    </row>
    <row r="31" spans="1:6" ht="15.75" customHeight="1" x14ac:dyDescent="0.25">
      <c r="A31" s="16" t="s">
        <v>68</v>
      </c>
      <c r="B31" s="17">
        <v>0</v>
      </c>
      <c r="C31" s="17">
        <v>0</v>
      </c>
      <c r="D31" s="26">
        <f t="shared" si="2"/>
        <v>0</v>
      </c>
      <c r="E31" s="27">
        <f t="shared" si="3"/>
        <v>0</v>
      </c>
      <c r="F31" s="20"/>
    </row>
    <row r="32" spans="1:6" ht="15.75" customHeight="1" x14ac:dyDescent="0.25">
      <c r="A32" s="16" t="s">
        <v>69</v>
      </c>
      <c r="B32" s="17">
        <v>0</v>
      </c>
      <c r="C32" s="17">
        <v>0</v>
      </c>
      <c r="D32" s="26">
        <f t="shared" si="2"/>
        <v>0</v>
      </c>
      <c r="E32" s="27">
        <f t="shared" si="3"/>
        <v>0</v>
      </c>
      <c r="F32" s="20"/>
    </row>
    <row r="33" spans="1:6" ht="18" customHeight="1" x14ac:dyDescent="0.25">
      <c r="A33" s="28" t="s">
        <v>70</v>
      </c>
      <c r="B33" s="29">
        <f>SUM(B20:B32)</f>
        <v>0</v>
      </c>
      <c r="C33" s="29">
        <f>SUM(C20:C32)</f>
        <v>0</v>
      </c>
      <c r="D33" s="29">
        <f t="shared" si="2"/>
        <v>0</v>
      </c>
      <c r="E33" s="30">
        <f t="shared" si="3"/>
        <v>0</v>
      </c>
      <c r="F33" s="31"/>
    </row>
  </sheetData>
  <mergeCells count="3">
    <mergeCell ref="A1:F1"/>
    <mergeCell ref="A3:F3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5"/>
  <sheetViews>
    <sheetView showGridLines="0" zoomScaleNormal="100" workbookViewId="0"/>
  </sheetViews>
  <sheetFormatPr baseColWidth="10" defaultColWidth="8.7109375" defaultRowHeight="15" x14ac:dyDescent="0.25"/>
  <cols>
    <col min="1" max="1" width="32" customWidth="1"/>
    <col min="2" max="5" width="20" customWidth="1"/>
    <col min="6" max="6" width="18" customWidth="1"/>
  </cols>
  <sheetData>
    <row r="1" spans="1:6" ht="30" customHeight="1" x14ac:dyDescent="0.25">
      <c r="A1" s="5" t="s">
        <v>74</v>
      </c>
      <c r="B1" s="5"/>
      <c r="C1" s="5"/>
      <c r="D1" s="5"/>
      <c r="E1" s="5"/>
      <c r="F1" s="5"/>
    </row>
    <row r="2" spans="1:6" ht="19.5" customHeight="1" x14ac:dyDescent="0.25">
      <c r="A2" s="32" t="s">
        <v>33</v>
      </c>
      <c r="B2" s="33" t="s">
        <v>75</v>
      </c>
      <c r="C2" s="33" t="s">
        <v>76</v>
      </c>
      <c r="D2" s="33" t="s">
        <v>77</v>
      </c>
      <c r="E2" s="33" t="s">
        <v>78</v>
      </c>
      <c r="F2" s="34" t="s">
        <v>79</v>
      </c>
    </row>
    <row r="3" spans="1:6" ht="18" customHeight="1" x14ac:dyDescent="0.25">
      <c r="A3" s="3" t="s">
        <v>80</v>
      </c>
      <c r="B3" s="3"/>
      <c r="C3" s="3"/>
      <c r="D3" s="3"/>
      <c r="E3" s="3"/>
      <c r="F3" s="3"/>
    </row>
    <row r="4" spans="1:6" ht="15.75" customHeight="1" x14ac:dyDescent="0.25">
      <c r="A4" s="35" t="s">
        <v>39</v>
      </c>
      <c r="B4" s="18">
        <f>SEMANA_1!C5</f>
        <v>683286506</v>
      </c>
      <c r="C4" s="18">
        <f>SEMANA_2!C5</f>
        <v>0</v>
      </c>
      <c r="D4" s="18">
        <f>SEMANA_3!C5</f>
        <v>0</v>
      </c>
      <c r="E4" s="18">
        <f>SEMANA_4!C5</f>
        <v>0</v>
      </c>
      <c r="F4" s="18">
        <f>SEMANA_4!C5-SEMANA_1!B5</f>
        <v>-1366573012</v>
      </c>
    </row>
    <row r="5" spans="1:6" ht="15.75" customHeight="1" x14ac:dyDescent="0.25">
      <c r="A5" s="35" t="s">
        <v>40</v>
      </c>
      <c r="B5" s="18">
        <f>SEMANA_1!C6</f>
        <v>155705500</v>
      </c>
      <c r="C5" s="18">
        <f>SEMANA_2!C6</f>
        <v>0</v>
      </c>
      <c r="D5" s="18">
        <f>SEMANA_3!C6</f>
        <v>0</v>
      </c>
      <c r="E5" s="18">
        <f>SEMANA_4!C6</f>
        <v>0</v>
      </c>
      <c r="F5" s="18">
        <f>SEMANA_4!C6-SEMANA_1!B6</f>
        <v>-311411000</v>
      </c>
    </row>
    <row r="6" spans="1:6" ht="15.75" customHeight="1" x14ac:dyDescent="0.25">
      <c r="A6" s="35" t="s">
        <v>41</v>
      </c>
      <c r="B6" s="18">
        <f>SEMANA_1!C7</f>
        <v>6689000</v>
      </c>
      <c r="C6" s="18">
        <f>SEMANA_2!C7</f>
        <v>0</v>
      </c>
      <c r="D6" s="18">
        <f>SEMANA_3!C7</f>
        <v>0</v>
      </c>
      <c r="E6" s="18">
        <f>SEMANA_4!C7</f>
        <v>0</v>
      </c>
      <c r="F6" s="18">
        <f>SEMANA_4!C7-SEMANA_1!B7</f>
        <v>-13378000</v>
      </c>
    </row>
    <row r="7" spans="1:6" ht="15.75" customHeight="1" x14ac:dyDescent="0.25">
      <c r="A7" s="35" t="s">
        <v>42</v>
      </c>
      <c r="B7" s="18">
        <f>SEMANA_1!C8</f>
        <v>1000000</v>
      </c>
      <c r="C7" s="18">
        <f>SEMANA_2!C8</f>
        <v>0</v>
      </c>
      <c r="D7" s="18">
        <f>SEMANA_3!C8</f>
        <v>0</v>
      </c>
      <c r="E7" s="18">
        <f>SEMANA_4!C8</f>
        <v>0</v>
      </c>
      <c r="F7" s="18">
        <f>SEMANA_4!C8-SEMANA_1!B8</f>
        <v>-2000000</v>
      </c>
    </row>
    <row r="8" spans="1:6" ht="15.75" customHeight="1" x14ac:dyDescent="0.25">
      <c r="A8" s="35" t="s">
        <v>43</v>
      </c>
      <c r="B8" s="18">
        <f>SEMANA_1!C9</f>
        <v>267000</v>
      </c>
      <c r="C8" s="18">
        <f>SEMANA_2!C9</f>
        <v>0</v>
      </c>
      <c r="D8" s="18">
        <f>SEMANA_3!C9</f>
        <v>0</v>
      </c>
      <c r="E8" s="18">
        <f>SEMANA_4!C9</f>
        <v>0</v>
      </c>
      <c r="F8" s="18">
        <f>SEMANA_4!C9-SEMANA_1!B9</f>
        <v>-534000</v>
      </c>
    </row>
    <row r="9" spans="1:6" ht="15.75" customHeight="1" x14ac:dyDescent="0.25">
      <c r="A9" s="35" t="s">
        <v>44</v>
      </c>
      <c r="B9" s="18">
        <f>SEMANA_1!C10</f>
        <v>700000000</v>
      </c>
      <c r="C9" s="18">
        <f>SEMANA_2!C10</f>
        <v>0</v>
      </c>
      <c r="D9" s="18">
        <f>SEMANA_3!C10</f>
        <v>0</v>
      </c>
      <c r="E9" s="18">
        <f>SEMANA_4!C10</f>
        <v>0</v>
      </c>
      <c r="F9" s="18">
        <f>SEMANA_4!C10-SEMANA_1!B10</f>
        <v>-1400000000</v>
      </c>
    </row>
    <row r="10" spans="1:6" ht="15.75" customHeight="1" x14ac:dyDescent="0.25">
      <c r="A10" s="35" t="s">
        <v>45</v>
      </c>
      <c r="B10" s="18">
        <f>SEMANA_1!C11</f>
        <v>115148867.5</v>
      </c>
      <c r="C10" s="18">
        <f>SEMANA_2!C11</f>
        <v>0</v>
      </c>
      <c r="D10" s="18">
        <f>SEMANA_3!C11</f>
        <v>0</v>
      </c>
      <c r="E10" s="18">
        <f>SEMANA_4!C11</f>
        <v>0</v>
      </c>
      <c r="F10" s="18">
        <f>SEMANA_4!C11-SEMANA_1!B11</f>
        <v>-230297735</v>
      </c>
    </row>
    <row r="11" spans="1:6" ht="15.75" customHeight="1" x14ac:dyDescent="0.25">
      <c r="A11" s="35" t="s">
        <v>46</v>
      </c>
      <c r="B11" s="18">
        <f>SEMANA_1!C12</f>
        <v>1843870203</v>
      </c>
      <c r="C11" s="18">
        <f>SEMANA_2!C12</f>
        <v>0</v>
      </c>
      <c r="D11" s="18">
        <f>SEMANA_3!C12</f>
        <v>0</v>
      </c>
      <c r="E11" s="18">
        <f>SEMANA_4!C12</f>
        <v>0</v>
      </c>
      <c r="F11" s="18">
        <f>SEMANA_4!C12-SEMANA_1!B12</f>
        <v>-3687740406</v>
      </c>
    </row>
    <row r="12" spans="1:6" ht="15.75" customHeight="1" x14ac:dyDescent="0.25">
      <c r="A12" s="35" t="s">
        <v>47</v>
      </c>
      <c r="B12" s="18">
        <f>SEMANA_1!C13</f>
        <v>189000000</v>
      </c>
      <c r="C12" s="18">
        <f>SEMANA_2!C13</f>
        <v>0</v>
      </c>
      <c r="D12" s="18">
        <f>SEMANA_3!C13</f>
        <v>0</v>
      </c>
      <c r="E12" s="18">
        <f>SEMANA_4!C13</f>
        <v>0</v>
      </c>
      <c r="F12" s="18">
        <f>SEMANA_4!C13-SEMANA_1!B13</f>
        <v>-378000000</v>
      </c>
    </row>
    <row r="13" spans="1:6" ht="15.75" customHeight="1" x14ac:dyDescent="0.25">
      <c r="A13" s="35" t="s">
        <v>48</v>
      </c>
      <c r="B13" s="18">
        <f>SEMANA_1!C14</f>
        <v>3954484457</v>
      </c>
      <c r="C13" s="18">
        <f>SEMANA_2!C14</f>
        <v>0</v>
      </c>
      <c r="D13" s="18">
        <f>SEMANA_3!C14</f>
        <v>0</v>
      </c>
      <c r="E13" s="18">
        <f>SEMANA_4!C14</f>
        <v>0</v>
      </c>
      <c r="F13" s="18">
        <f>SEMANA_4!C14-SEMANA_1!B14</f>
        <v>-7908968914</v>
      </c>
    </row>
    <row r="14" spans="1:6" ht="15.75" customHeight="1" x14ac:dyDescent="0.25">
      <c r="A14" s="35" t="s">
        <v>49</v>
      </c>
      <c r="B14" s="18">
        <f>SEMANA_1!C15</f>
        <v>139154103</v>
      </c>
      <c r="C14" s="18">
        <f>SEMANA_2!C15</f>
        <v>0</v>
      </c>
      <c r="D14" s="18">
        <f>SEMANA_3!C15</f>
        <v>0</v>
      </c>
      <c r="E14" s="18">
        <f>SEMANA_4!C15</f>
        <v>0</v>
      </c>
      <c r="F14" s="18">
        <f>SEMANA_4!C15-SEMANA_1!B15</f>
        <v>-278308206</v>
      </c>
    </row>
    <row r="15" spans="1:6" ht="18" customHeight="1" x14ac:dyDescent="0.25">
      <c r="A15" s="10" t="s">
        <v>50</v>
      </c>
      <c r="B15" s="21">
        <f>SEMANA_1!C16</f>
        <v>7788605636.5</v>
      </c>
      <c r="C15" s="21">
        <f>SEMANA_2!C16</f>
        <v>0</v>
      </c>
      <c r="D15" s="21">
        <f>SEMANA_3!C16</f>
        <v>0</v>
      </c>
      <c r="E15" s="21">
        <f>SEMANA_4!C16</f>
        <v>0</v>
      </c>
      <c r="F15" s="21">
        <f>SEMANA_4!C16-SEMANA_1!B16</f>
        <v>-15577211273</v>
      </c>
    </row>
    <row r="17" spans="1:6" ht="18" customHeight="1" x14ac:dyDescent="0.25">
      <c r="A17" s="2" t="s">
        <v>81</v>
      </c>
      <c r="B17" s="2"/>
      <c r="C17" s="2"/>
      <c r="D17" s="2"/>
      <c r="E17" s="2"/>
      <c r="F17" s="2"/>
    </row>
    <row r="18" spans="1:6" ht="21.75" customHeight="1" x14ac:dyDescent="0.25">
      <c r="A18" s="36" t="s">
        <v>52</v>
      </c>
      <c r="B18" s="37" t="s">
        <v>75</v>
      </c>
      <c r="C18" s="37" t="s">
        <v>76</v>
      </c>
      <c r="D18" s="37" t="s">
        <v>77</v>
      </c>
      <c r="E18" s="37" t="s">
        <v>78</v>
      </c>
      <c r="F18" s="38" t="s">
        <v>82</v>
      </c>
    </row>
    <row r="19" spans="1:6" ht="15.75" customHeight="1" x14ac:dyDescent="0.25">
      <c r="A19" s="35" t="s">
        <v>57</v>
      </c>
      <c r="B19" s="26">
        <f>SEMANA_1!C20</f>
        <v>425597666</v>
      </c>
      <c r="C19" s="26">
        <f>SEMANA_2!C20</f>
        <v>0</v>
      </c>
      <c r="D19" s="26">
        <f>SEMANA_3!C20</f>
        <v>0</v>
      </c>
      <c r="E19" s="26">
        <f>SEMANA_4!C20</f>
        <v>0</v>
      </c>
      <c r="F19" s="26">
        <f t="shared" ref="F19:F32" si="0">SUM(B19:E19)</f>
        <v>425597666</v>
      </c>
    </row>
    <row r="20" spans="1:6" ht="15.75" customHeight="1" x14ac:dyDescent="0.25">
      <c r="A20" s="35" t="s">
        <v>58</v>
      </c>
      <c r="B20" s="26">
        <f>SEMANA_1!C21</f>
        <v>0</v>
      </c>
      <c r="C20" s="26">
        <f>SEMANA_2!C21</f>
        <v>0</v>
      </c>
      <c r="D20" s="26">
        <f>SEMANA_3!C21</f>
        <v>0</v>
      </c>
      <c r="E20" s="26">
        <f>SEMANA_4!C21</f>
        <v>0</v>
      </c>
      <c r="F20" s="26">
        <f t="shared" si="0"/>
        <v>0</v>
      </c>
    </row>
    <row r="21" spans="1:6" ht="15.75" customHeight="1" x14ac:dyDescent="0.25">
      <c r="A21" s="35" t="s">
        <v>59</v>
      </c>
      <c r="B21" s="26">
        <f>SEMANA_1!C22</f>
        <v>60289709</v>
      </c>
      <c r="C21" s="26">
        <f>SEMANA_2!C22</f>
        <v>0</v>
      </c>
      <c r="D21" s="26">
        <f>SEMANA_3!C22</f>
        <v>0</v>
      </c>
      <c r="E21" s="26">
        <f>SEMANA_4!C22</f>
        <v>0</v>
      </c>
      <c r="F21" s="26">
        <f t="shared" si="0"/>
        <v>60289709</v>
      </c>
    </row>
    <row r="22" spans="1:6" ht="15.75" customHeight="1" x14ac:dyDescent="0.25">
      <c r="A22" s="35" t="s">
        <v>60</v>
      </c>
      <c r="B22" s="26">
        <f>SEMANA_1!C23</f>
        <v>0</v>
      </c>
      <c r="C22" s="26">
        <f>SEMANA_2!C23</f>
        <v>0</v>
      </c>
      <c r="D22" s="26">
        <f>SEMANA_3!C23</f>
        <v>0</v>
      </c>
      <c r="E22" s="26">
        <f>SEMANA_4!C23</f>
        <v>0</v>
      </c>
      <c r="F22" s="26">
        <f t="shared" si="0"/>
        <v>0</v>
      </c>
    </row>
    <row r="23" spans="1:6" ht="15.75" customHeight="1" x14ac:dyDescent="0.25">
      <c r="A23" s="35" t="s">
        <v>61</v>
      </c>
      <c r="B23" s="26">
        <f>SEMANA_1!C24</f>
        <v>0</v>
      </c>
      <c r="C23" s="26">
        <f>SEMANA_2!C24</f>
        <v>0</v>
      </c>
      <c r="D23" s="26">
        <f>SEMANA_3!C24</f>
        <v>0</v>
      </c>
      <c r="E23" s="26">
        <f>SEMANA_4!C24</f>
        <v>0</v>
      </c>
      <c r="F23" s="26">
        <f t="shared" si="0"/>
        <v>0</v>
      </c>
    </row>
    <row r="24" spans="1:6" ht="15.75" customHeight="1" x14ac:dyDescent="0.25">
      <c r="A24" s="35" t="s">
        <v>62</v>
      </c>
      <c r="B24" s="26">
        <f>SEMANA_1!C25</f>
        <v>0</v>
      </c>
      <c r="C24" s="26">
        <f>SEMANA_2!C25</f>
        <v>0</v>
      </c>
      <c r="D24" s="26">
        <f>SEMANA_3!C25</f>
        <v>0</v>
      </c>
      <c r="E24" s="26">
        <f>SEMANA_4!C25</f>
        <v>0</v>
      </c>
      <c r="F24" s="26">
        <f t="shared" si="0"/>
        <v>0</v>
      </c>
    </row>
    <row r="25" spans="1:6" ht="15.75" customHeight="1" x14ac:dyDescent="0.25">
      <c r="A25" s="35" t="s">
        <v>63</v>
      </c>
      <c r="B25" s="26">
        <f>SEMANA_1!C26</f>
        <v>0</v>
      </c>
      <c r="C25" s="26">
        <f>SEMANA_2!C26</f>
        <v>0</v>
      </c>
      <c r="D25" s="26">
        <f>SEMANA_3!C26</f>
        <v>0</v>
      </c>
      <c r="E25" s="26">
        <f>SEMANA_4!C26</f>
        <v>0</v>
      </c>
      <c r="F25" s="26">
        <f t="shared" si="0"/>
        <v>0</v>
      </c>
    </row>
    <row r="26" spans="1:6" ht="15.75" customHeight="1" x14ac:dyDescent="0.25">
      <c r="A26" s="35" t="s">
        <v>64</v>
      </c>
      <c r="B26" s="26">
        <f>SEMANA_1!C27</f>
        <v>323329977</v>
      </c>
      <c r="C26" s="26">
        <f>SEMANA_2!C27</f>
        <v>0</v>
      </c>
      <c r="D26" s="26">
        <f>SEMANA_3!C27</f>
        <v>0</v>
      </c>
      <c r="E26" s="26">
        <f>SEMANA_4!C27</f>
        <v>0</v>
      </c>
      <c r="F26" s="26">
        <f t="shared" si="0"/>
        <v>323329977</v>
      </c>
    </row>
    <row r="27" spans="1:6" ht="15.75" customHeight="1" x14ac:dyDescent="0.25">
      <c r="A27" s="35" t="s">
        <v>65</v>
      </c>
      <c r="B27" s="26">
        <f>SEMANA_1!C28</f>
        <v>0</v>
      </c>
      <c r="C27" s="26">
        <f>SEMANA_2!C28</f>
        <v>0</v>
      </c>
      <c r="D27" s="26">
        <f>SEMANA_3!C28</f>
        <v>0</v>
      </c>
      <c r="E27" s="26">
        <f>SEMANA_4!C28</f>
        <v>0</v>
      </c>
      <c r="F27" s="26">
        <f t="shared" si="0"/>
        <v>0</v>
      </c>
    </row>
    <row r="28" spans="1:6" ht="15.75" customHeight="1" x14ac:dyDescent="0.25">
      <c r="A28" s="35" t="s">
        <v>66</v>
      </c>
      <c r="B28" s="26">
        <f>SEMANA_1!C29</f>
        <v>0</v>
      </c>
      <c r="C28" s="26">
        <f>SEMANA_2!C29</f>
        <v>0</v>
      </c>
      <c r="D28" s="26">
        <f>SEMANA_3!C29</f>
        <v>0</v>
      </c>
      <c r="E28" s="26">
        <f>SEMANA_4!C29</f>
        <v>0</v>
      </c>
      <c r="F28" s="26">
        <f t="shared" si="0"/>
        <v>0</v>
      </c>
    </row>
    <row r="29" spans="1:6" ht="15.75" customHeight="1" x14ac:dyDescent="0.25">
      <c r="A29" s="35" t="s">
        <v>67</v>
      </c>
      <c r="B29" s="26">
        <f>SEMANA_1!C30</f>
        <v>0</v>
      </c>
      <c r="C29" s="26">
        <f>SEMANA_2!C30</f>
        <v>0</v>
      </c>
      <c r="D29" s="26">
        <f>SEMANA_3!C30</f>
        <v>0</v>
      </c>
      <c r="E29" s="26">
        <f>SEMANA_4!C30</f>
        <v>0</v>
      </c>
      <c r="F29" s="26">
        <f t="shared" si="0"/>
        <v>0</v>
      </c>
    </row>
    <row r="30" spans="1:6" ht="15.75" customHeight="1" x14ac:dyDescent="0.25">
      <c r="A30" s="35" t="s">
        <v>68</v>
      </c>
      <c r="B30" s="26">
        <f>SEMANA_1!C31</f>
        <v>0</v>
      </c>
      <c r="C30" s="26">
        <f>SEMANA_2!C31</f>
        <v>0</v>
      </c>
      <c r="D30" s="26">
        <f>SEMANA_3!C31</f>
        <v>0</v>
      </c>
      <c r="E30" s="26">
        <f>SEMANA_4!C31</f>
        <v>0</v>
      </c>
      <c r="F30" s="26">
        <f t="shared" si="0"/>
        <v>0</v>
      </c>
    </row>
    <row r="31" spans="1:6" ht="15.75" customHeight="1" x14ac:dyDescent="0.25">
      <c r="A31" s="35" t="s">
        <v>69</v>
      </c>
      <c r="B31" s="26">
        <f>SEMANA_1!C32</f>
        <v>0</v>
      </c>
      <c r="C31" s="26">
        <f>SEMANA_2!C32</f>
        <v>0</v>
      </c>
      <c r="D31" s="26">
        <f>SEMANA_3!C32</f>
        <v>0</v>
      </c>
      <c r="E31" s="26">
        <f>SEMANA_4!C32</f>
        <v>0</v>
      </c>
      <c r="F31" s="26">
        <f t="shared" si="0"/>
        <v>0</v>
      </c>
    </row>
    <row r="32" spans="1:6" ht="18" customHeight="1" x14ac:dyDescent="0.25">
      <c r="A32" s="28" t="s">
        <v>70</v>
      </c>
      <c r="B32" s="29">
        <f>SEMANA_1!C33</f>
        <v>809217352</v>
      </c>
      <c r="C32" s="29">
        <f>SEMANA_2!C33</f>
        <v>0</v>
      </c>
      <c r="D32" s="29">
        <f>SEMANA_3!C33</f>
        <v>0</v>
      </c>
      <c r="E32" s="29">
        <f>SEMANA_4!C33</f>
        <v>0</v>
      </c>
      <c r="F32" s="29">
        <f t="shared" si="0"/>
        <v>809217352</v>
      </c>
    </row>
    <row r="34" spans="1:6" ht="18" customHeight="1" x14ac:dyDescent="0.25">
      <c r="A34" s="1" t="s">
        <v>83</v>
      </c>
      <c r="B34" s="1"/>
      <c r="C34" s="1"/>
      <c r="D34" s="1"/>
      <c r="E34" s="1"/>
      <c r="F34" s="1"/>
    </row>
    <row r="35" spans="1:6" ht="21.75" customHeight="1" x14ac:dyDescent="0.25">
      <c r="A35" s="39" t="s">
        <v>84</v>
      </c>
      <c r="B35" s="40">
        <f>SEMANA_1!C16-SEMANA_1!C33</f>
        <v>6979388284.5</v>
      </c>
      <c r="C35" s="40">
        <f>SEMANA_2!C16-SEMANA_2!C33</f>
        <v>0</v>
      </c>
      <c r="D35" s="40">
        <f>SEMANA_3!C16-SEMANA_3!C33</f>
        <v>0</v>
      </c>
      <c r="E35" s="40">
        <f>SEMANA_4!C16-SEMANA_4!C33</f>
        <v>0</v>
      </c>
      <c r="F35" s="40">
        <f>SUM(B35:E35)</f>
        <v>6979388284.5</v>
      </c>
    </row>
  </sheetData>
  <mergeCells count="4">
    <mergeCell ref="A1:F1"/>
    <mergeCell ref="A3:F3"/>
    <mergeCell ref="A17:F17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INSTRUCCIONES</vt:lpstr>
      <vt:lpstr>SEMANA_1</vt:lpstr>
      <vt:lpstr>SEMANA_2</vt:lpstr>
      <vt:lpstr>SEMANA_3</vt:lpstr>
      <vt:lpstr>SEMANA_4</vt:lpstr>
      <vt:lpstr>RESUMEN_MES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2026-06-05T19:32:08Z</dcterms:created>
  <dcterms:modified xsi:type="dcterms:W3CDTF">2026-06-05T19:48:35Z</dcterms:modified>
  <dc:language>en-US</dc:language>
</cp:coreProperties>
</file>